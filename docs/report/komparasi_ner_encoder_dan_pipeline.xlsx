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Komparasi" sheetId="1" state="visible" r:id="rId1"/>
    <sheet xmlns:r="http://schemas.openxmlformats.org/officeDocument/2006/relationships" name="Konfigurasi Fine-Tuning" sheetId="2" state="visible" r:id="rId2"/>
    <sheet xmlns:r="http://schemas.openxmlformats.org/officeDocument/2006/relationships" name="Detail Per-Fold &amp; Statistik" sheetId="3" state="visible" r:id="rId3"/>
    <sheet xmlns:r="http://schemas.openxmlformats.org/officeDocument/2006/relationships" name="Uji Ketahanan OOD" sheetId="4" state="visible" r:id="rId4"/>
    <sheet xmlns:r="http://schemas.openxmlformats.org/officeDocument/2006/relationships" name="Arsitektur Pipeline Gemi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+0.0%pp;-0.0%pp;0.0%pp"/>
    <numFmt numFmtId="166" formatCode="+0.0%;-0.0%;0.0%"/>
    <numFmt numFmtId="167" formatCode="0.0"/>
    <numFmt numFmtId="168" formatCode="0.0s"/>
    <numFmt numFmtId="169" formatCode="0.0%pp"/>
    <numFmt numFmtId="170" formatCode="-0.0%pp;+0.0%pp;0.0%pp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B365D"/>
      <sz val="10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E5B88"/>
      </patternFill>
    </fill>
    <fill>
      <patternFill patternType="solid">
        <fgColor rgb="00E8EEF5"/>
      </patternFill>
    </fill>
    <fill>
      <patternFill patternType="solid">
        <fgColor rgb="00F8D7DA"/>
      </patternFill>
    </fill>
    <fill>
      <patternFill patternType="solid">
        <fgColor rgb="00F8FAFC"/>
      </patternFill>
    </fill>
    <fill>
      <patternFill patternType="solid">
        <fgColor rgb="00FFF3CD"/>
      </patternFill>
    </fill>
    <fill>
      <patternFill patternType="solid">
        <fgColor rgb="00D1E7D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164" fontId="3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6" fillId="0" borderId="0" pivotButton="0" quotePrefix="0" xfId="0"/>
    <xf numFmtId="165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165" fontId="4" fillId="6" borderId="2" applyAlignment="1" pivotButton="0" quotePrefix="0" xfId="0">
      <alignment horizontal="right" vertical="center"/>
    </xf>
    <xf numFmtId="166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167" fontId="5" fillId="4" borderId="2" applyAlignment="1" pivotButton="0" quotePrefix="0" xfId="0">
      <alignment horizontal="right" vertical="center"/>
    </xf>
    <xf numFmtId="167" fontId="5" fillId="6" borderId="2" applyAlignment="1" pivotButton="0" quotePrefix="0" xfId="0">
      <alignment horizontal="right" vertical="center"/>
    </xf>
    <xf numFmtId="0" fontId="3" fillId="2" borderId="2" pivotButton="0" quotePrefix="0" xfId="0"/>
    <xf numFmtId="1" fontId="3" fillId="2" borderId="0" applyAlignment="1" pivotButton="0" quotePrefix="0" xfId="0">
      <alignment horizontal="center" vertical="center" wrapText="1"/>
    </xf>
    <xf numFmtId="168" fontId="3" fillId="2" borderId="0" applyAlignment="1" pivotButton="0" quotePrefix="0" xfId="0">
      <alignment horizontal="right" vertical="center"/>
    </xf>
    <xf numFmtId="1" fontId="0" fillId="4" borderId="2" applyAlignment="1" pivotButton="0" quotePrefix="0" xfId="0">
      <alignment horizontal="center" vertical="center" wrapText="1"/>
    </xf>
    <xf numFmtId="164" fontId="0" fillId="4" borderId="2" applyAlignment="1" pivotButton="0" quotePrefix="0" xfId="0">
      <alignment horizontal="right" vertical="center"/>
    </xf>
    <xf numFmtId="169" fontId="4" fillId="4" borderId="2" applyAlignment="1" pivotButton="0" quotePrefix="0" xfId="0">
      <alignment horizontal="right" vertical="center"/>
    </xf>
    <xf numFmtId="1" fontId="0" fillId="6" borderId="2" applyAlignment="1" pivotButton="0" quotePrefix="0" xfId="0">
      <alignment horizontal="center" vertical="center" wrapText="1"/>
    </xf>
    <xf numFmtId="164" fontId="0" fillId="6" borderId="2" applyAlignment="1" pivotButton="0" quotePrefix="0" xfId="0">
      <alignment horizontal="right" vertical="center"/>
    </xf>
    <xf numFmtId="169" fontId="4" fillId="6" borderId="2" applyAlignment="1" pivotButton="0" quotePrefix="0" xfId="0">
      <alignment horizontal="right" vertical="center"/>
    </xf>
    <xf numFmtId="170" fontId="4" fillId="4" borderId="2" applyAlignment="1" pivotButton="0" quotePrefix="0" xfId="0">
      <alignment horizontal="right" vertical="center"/>
    </xf>
    <xf numFmtId="170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6" customWidth="1" min="2" max="2"/>
    <col width="15" customWidth="1" min="3" max="3"/>
    <col width="27" customWidth="1" min="4" max="4"/>
    <col width="27" customWidth="1" min="5" max="5"/>
    <col width="52" customWidth="1" min="6" max="6"/>
    <col width="20" customWidth="1" min="7" max="7"/>
    <col width="17" customWidth="1" min="8" max="8"/>
    <col width="13" customWidth="1" min="9" max="9"/>
    <col width="15" customWidth="1" min="10" max="10"/>
    <col width="23" customWidth="1" min="11" max="11"/>
    <col width="26" customWidth="1" min="12" max="12"/>
    <col width="23" customWidth="1" min="13" max="13"/>
    <col width="42" customWidth="1" min="14" max="14"/>
  </cols>
  <sheetData>
    <row r="1" ht="26" customHeight="1">
      <c r="A1" s="1" t="inlineStr">
        <is>
          <t>KOMPARASI KINERJA PIPELINE &amp; ENCODER NER SERTIFIKAT (74 DOKUMEN, GT V9)</t>
        </is>
      </c>
    </row>
    <row r="2" ht="18" customHeight="1">
      <c r="A2" s="2" t="inlineStr">
        <is>
          <t>Evaluasi Frozen Baseline Matcher v2 (Framework 5-Field: 310 Sel &amp; All-Cells 6-Field: 444 Sel) | Tanggal Evaluasi: 2026-09-04</t>
        </is>
      </c>
    </row>
    <row r="3"/>
    <row r="4" ht="28" customHeight="1">
      <c r="A4" s="3" t="inlineStr">
        <is>
          <t>Metode / Model</t>
        </is>
      </c>
      <c r="B4" s="3" t="inlineStr">
        <is>
          <t>Kategori Arsitektur</t>
        </is>
      </c>
      <c r="C4" s="3" t="inlineStr">
        <is>
          <t>MACRO Exact</t>
        </is>
      </c>
      <c r="D4" s="3" t="inlineStr">
        <is>
          <t>MACRO Fuzzy</t>
        </is>
      </c>
      <c r="E4" s="3" t="inlineStr">
        <is>
          <t>95% CI Exact</t>
        </is>
      </c>
      <c r="F4" s="3" t="inlineStr">
        <is>
          <t>Nama Kegiatan</t>
        </is>
      </c>
      <c r="G4" s="3" t="inlineStr">
        <is>
          <t>Nomor Sertifikat</t>
        </is>
      </c>
      <c r="H4" s="3" t="inlineStr">
        <is>
          <t>Penyelenggara</t>
        </is>
      </c>
      <c r="I4" s="3" t="inlineStr">
        <is>
          <t>Tgl Mulai</t>
        </is>
      </c>
      <c r="J4" s="3" t="inlineStr">
        <is>
          <t>Tgl Selesai</t>
        </is>
      </c>
      <c r="K4" s="3" t="inlineStr">
        <is>
          <t>Tingkat (All-Cells)</t>
        </is>
      </c>
      <c r="L4" s="3" t="inlineStr">
        <is>
          <t>Waktu Proses (74 Cert)</t>
        </is>
      </c>
      <c r="M4" s="3" t="inlineStr">
        <is>
          <t>VRAM / Biaya</t>
        </is>
      </c>
      <c r="N4" s="3" t="inlineStr">
        <is>
          <t>Status Produksi / Evaluasi</t>
        </is>
      </c>
    </row>
    <row r="5" ht="20" customHeight="1">
      <c r="A5" s="4" t="inlineStr">
        <is>
          <t>IndoBERT Pre-trained (indobert-ner-gold)</t>
        </is>
      </c>
      <c r="B5" s="5" t="inlineStr">
        <is>
          <t>Token Classification (Zero-Shot)</t>
        </is>
      </c>
      <c r="C5" s="6" t="n">
        <v>0.128</v>
      </c>
      <c r="D5" s="6" t="n">
        <v>0.288</v>
      </c>
      <c r="E5" s="7" t="inlineStr">
        <is>
          <t>[9.50%, 16.20%]</t>
        </is>
      </c>
      <c r="F5" s="8" t="n">
        <v>0.164</v>
      </c>
      <c r="G5" s="8" t="n">
        <v>0</v>
      </c>
      <c r="H5" s="8" t="n">
        <v>0.11</v>
      </c>
      <c r="I5" s="8" t="n">
        <v>0.273</v>
      </c>
      <c r="J5" s="8" t="n">
        <v>0.073</v>
      </c>
      <c r="K5" s="7" t="inlineStr">
        <is>
          <t>N/A</t>
        </is>
      </c>
      <c r="L5" s="7" t="inlineStr">
        <is>
          <t>5.1 detik (0.07s/c)</t>
        </is>
      </c>
      <c r="M5" s="7" t="inlineStr">
        <is>
          <t>~2.5 GB</t>
        </is>
      </c>
      <c r="N5" s="5" t="inlineStr">
        <is>
          <t>Baseline Pre-trained (Off-the-shelf)</t>
        </is>
      </c>
    </row>
    <row r="6" ht="20" customHeight="1">
      <c r="A6" s="9" t="inlineStr">
        <is>
          <t>IndoBERT Fine-Tuned Gagal (indobert-base-p1)</t>
        </is>
      </c>
      <c r="B6" s="10" t="inlineStr">
        <is>
          <t>Full Fine-Tuning (59 Sampel)</t>
        </is>
      </c>
      <c r="C6" s="11" t="n">
        <v>0.015</v>
      </c>
      <c r="D6" s="11" t="n">
        <v>0.082</v>
      </c>
      <c r="E6" s="12" t="inlineStr">
        <is>
          <t>N/A</t>
        </is>
      </c>
      <c r="F6" s="13" t="n">
        <v>0.027</v>
      </c>
      <c r="G6" s="13" t="n">
        <v>0</v>
      </c>
      <c r="H6" s="13" t="n">
        <v>0.014</v>
      </c>
      <c r="I6" s="13" t="n">
        <v>0.036</v>
      </c>
      <c r="J6" s="13" t="n">
        <v>0</v>
      </c>
      <c r="K6" s="12" t="inlineStr">
        <is>
          <t>N/A</t>
        </is>
      </c>
      <c r="L6" s="12" t="inlineStr">
        <is>
          <t>~240 detik (5 ep)</t>
        </is>
      </c>
      <c r="M6" s="12" t="inlineStr">
        <is>
          <t>~3.5 GB</t>
        </is>
      </c>
      <c r="N6" s="10" t="inlineStr">
        <is>
          <t>Gagal (Catastrophic Forgetting)</t>
        </is>
      </c>
    </row>
    <row r="7" ht="20" customHeight="1">
      <c r="A7" s="4" t="inlineStr">
        <is>
          <t>GLiNER2.5 Base (arXiv:2507.18546)</t>
        </is>
      </c>
      <c r="B7" s="5" t="inlineStr">
        <is>
          <t>Zero-Shot Boundary Extractor</t>
        </is>
      </c>
      <c r="C7" s="6" t="n">
        <v>0.2871</v>
      </c>
      <c r="D7" s="6" t="n">
        <v>0.3871</v>
      </c>
      <c r="E7" s="7" t="inlineStr">
        <is>
          <t>[23.64%, 34.39%]</t>
        </is>
      </c>
      <c r="F7" s="8" t="n">
        <v>0.3108</v>
      </c>
      <c r="G7" s="8" t="n">
        <v>0.0385</v>
      </c>
      <c r="H7" s="8" t="n">
        <v>0.2027</v>
      </c>
      <c r="I7" s="8" t="n">
        <v>0.4545</v>
      </c>
      <c r="J7" s="8" t="n">
        <v>0.4364</v>
      </c>
      <c r="K7" s="7" t="inlineStr">
        <is>
          <t>N/A</t>
        </is>
      </c>
      <c r="L7" s="7" t="inlineStr">
        <is>
          <t>3.9 detik (0.052s/c)</t>
        </is>
      </c>
      <c r="M7" s="7" t="inlineStr">
        <is>
          <t>~1.8 GB</t>
        </is>
      </c>
      <c r="N7" s="5" t="inlineStr">
        <is>
          <t>Zero-Shot Boundary (PASS)</t>
        </is>
      </c>
    </row>
    <row r="8" ht="20" customHeight="1">
      <c r="A8" s="9" t="inlineStr">
        <is>
          <t>GLiNER2.5 Base Fine-Tuned</t>
        </is>
      </c>
      <c r="B8" s="10" t="inlineStr">
        <is>
          <t>Full Fine-Tuning Boundary</t>
        </is>
      </c>
      <c r="C8" s="14" t="inlineStr">
        <is>
          <t>N/A</t>
        </is>
      </c>
      <c r="D8" s="14" t="inlineStr">
        <is>
          <t>N/A</t>
        </is>
      </c>
      <c r="E8" s="12" t="inlineStr">
        <is>
          <t>N/A</t>
        </is>
      </c>
      <c r="F8" s="12" t="inlineStr">
        <is>
          <t>N/A</t>
        </is>
      </c>
      <c r="G8" s="12" t="inlineStr">
        <is>
          <t>N/A</t>
        </is>
      </c>
      <c r="H8" s="12" t="inlineStr">
        <is>
          <t>N/A</t>
        </is>
      </c>
      <c r="I8" s="12" t="inlineStr">
        <is>
          <t>N/A</t>
        </is>
      </c>
      <c r="J8" s="12" t="inlineStr">
        <is>
          <t>N/A</t>
        </is>
      </c>
      <c r="K8" s="12" t="inlineStr">
        <is>
          <t>N/A</t>
        </is>
      </c>
      <c r="L8" s="12" t="inlineStr">
        <is>
          <t>69.0 detik (Fold 1)</t>
        </is>
      </c>
      <c r="M8" s="12" t="inlineStr">
        <is>
          <t>~4.6 GB</t>
        </is>
      </c>
      <c r="N8" s="10" t="inlineStr">
        <is>
          <t>Gagal (FloatingPointError micro-batch)</t>
        </is>
      </c>
    </row>
    <row r="9" ht="20" customHeight="1">
      <c r="A9" s="4" t="inlineStr">
        <is>
          <t>mDeBERTa-v3-base (86M)</t>
        </is>
      </c>
      <c r="B9" s="5" t="inlineStr">
        <is>
          <t>5-Fold CV Token Classif.</t>
        </is>
      </c>
      <c r="C9" s="6" t="n">
        <v>0.3484</v>
      </c>
      <c r="D9" s="6" t="n">
        <v>0.5129</v>
      </c>
      <c r="E9" s="7" t="inlineStr">
        <is>
          <t>[28.95%, 40.92%]</t>
        </is>
      </c>
      <c r="F9" s="8" t="n">
        <v>0.2568</v>
      </c>
      <c r="G9" s="8" t="n">
        <v>0.5577</v>
      </c>
      <c r="H9" s="8" t="n">
        <v>0.2568</v>
      </c>
      <c r="I9" s="8" t="n">
        <v>0.3273</v>
      </c>
      <c r="J9" s="8" t="n">
        <v>0.4182</v>
      </c>
      <c r="K9" s="7" t="inlineStr">
        <is>
          <t>N/A</t>
        </is>
      </c>
      <c r="L9" s="7" t="inlineStr">
        <is>
          <t>734 detik (~12.2m)</t>
        </is>
      </c>
      <c r="M9" s="7" t="inlineStr">
        <is>
          <t>4.08 GB</t>
        </is>
      </c>
      <c r="N9" s="5" t="inlineStr">
        <is>
          <t>Eksplorasi (PASS)</t>
        </is>
      </c>
    </row>
    <row r="10" ht="20" customHeight="1">
      <c r="A10" s="15" t="inlineStr">
        <is>
          <t>GLiNER v2.1 Multilingual (urchade)</t>
        </is>
      </c>
      <c r="B10" s="16" t="inlineStr">
        <is>
          <t>Zero-Shot Span Bi-Encoder</t>
        </is>
      </c>
      <c r="C10" s="17" t="n">
        <v>0.3548</v>
      </c>
      <c r="D10" s="17" t="n">
        <v>0.4645</v>
      </c>
      <c r="E10" s="18" t="inlineStr">
        <is>
          <t>[30.10%, 41.31%]</t>
        </is>
      </c>
      <c r="F10" s="19" t="n">
        <v>0.1622</v>
      </c>
      <c r="G10" s="19" t="n">
        <v>0.1346</v>
      </c>
      <c r="H10" s="19" t="n">
        <v>0.3649</v>
      </c>
      <c r="I10" s="19" t="n">
        <v>0.5818</v>
      </c>
      <c r="J10" s="19" t="n">
        <v>0.5818</v>
      </c>
      <c r="K10" s="18" t="inlineStr">
        <is>
          <t>N/A</t>
        </is>
      </c>
      <c r="L10" s="18" t="inlineStr">
        <is>
          <t>5.7 detik (0.077s/c)</t>
        </is>
      </c>
      <c r="M10" s="18" t="inlineStr">
        <is>
          <t>~2.4 GB</t>
        </is>
      </c>
      <c r="N10" s="16" t="inlineStr">
        <is>
          <t>Zero-Shot Multi (PASS)</t>
        </is>
      </c>
    </row>
    <row r="11" ht="20" customHeight="1">
      <c r="A11" s="4" t="inlineStr">
        <is>
          <t>XLM-RoBERTa-large (560M)</t>
        </is>
      </c>
      <c r="B11" s="5" t="inlineStr">
        <is>
          <t>5-Fold CV Token Classif.</t>
        </is>
      </c>
      <c r="C11" s="6" t="n">
        <v>0.4355</v>
      </c>
      <c r="D11" s="6" t="n">
        <v>0.5548</v>
      </c>
      <c r="E11" s="7" t="inlineStr">
        <is>
          <t>[37.17%, 50.00%]</t>
        </is>
      </c>
      <c r="F11" s="8" t="n">
        <v>0.3514</v>
      </c>
      <c r="G11" s="8" t="n">
        <v>0.5962</v>
      </c>
      <c r="H11" s="8" t="n">
        <v>0.3784</v>
      </c>
      <c r="I11" s="8" t="n">
        <v>0.4545</v>
      </c>
      <c r="J11" s="8" t="n">
        <v>0.4545</v>
      </c>
      <c r="K11" s="7" t="inlineStr">
        <is>
          <t>N/A</t>
        </is>
      </c>
      <c r="L11" s="7" t="inlineStr">
        <is>
          <t>794 detik (~13.2m)</t>
        </is>
      </c>
      <c r="M11" s="7" t="inlineStr">
        <is>
          <t>7.09 GB (Adafactor)</t>
        </is>
      </c>
      <c r="N11" s="5" t="inlineStr">
        <is>
          <t>Eksplorasi (PASS)</t>
        </is>
      </c>
    </row>
    <row r="12" ht="20" customHeight="1">
      <c r="A12" s="15" t="inlineStr">
        <is>
          <t>IndoBERT-ner-gold Fine-Tuned (334M)</t>
        </is>
      </c>
      <c r="B12" s="16" t="inlineStr">
        <is>
          <t>5-Fold CV Token Classif.</t>
        </is>
      </c>
      <c r="C12" s="17" t="n">
        <v>0.4452</v>
      </c>
      <c r="D12" s="17" t="n">
        <v>0.571</v>
      </c>
      <c r="E12" s="18" t="inlineStr">
        <is>
          <t>[38.59%, 50.82%]</t>
        </is>
      </c>
      <c r="F12" s="19" t="n">
        <v>0.4324</v>
      </c>
      <c r="G12" s="19" t="n">
        <v>0.5769</v>
      </c>
      <c r="H12" s="19" t="n">
        <v>0.3649</v>
      </c>
      <c r="I12" s="19" t="n">
        <v>0.4909</v>
      </c>
      <c r="J12" s="19" t="n">
        <v>0.4</v>
      </c>
      <c r="K12" s="18" t="inlineStr">
        <is>
          <t>N/A</t>
        </is>
      </c>
      <c r="L12" s="18" t="inlineStr">
        <is>
          <t>700.1 detik (~11.7m)</t>
        </is>
      </c>
      <c r="M12" s="18" t="inlineStr">
        <is>
          <t>4.65 GB</t>
        </is>
      </c>
      <c r="N12" s="16" t="inlineStr">
        <is>
          <t>BEST TOKEN CLASSIFIER (PASS)</t>
        </is>
      </c>
    </row>
    <row r="13" ht="20" customHeight="1">
      <c r="A13" s="20" t="inlineStr">
        <is>
          <t>GLiNER v2.1 Fine-Tuned (300M)</t>
        </is>
      </c>
      <c r="B13" s="21" t="inlineStr">
        <is>
          <t>5-Fold OOF Span Bi-Encoder</t>
        </is>
      </c>
      <c r="C13" s="22" t="n">
        <v>0.5452</v>
      </c>
      <c r="D13" s="22" t="n">
        <v>0.6323</v>
      </c>
      <c r="E13" s="23" t="inlineStr">
        <is>
          <t>[47.78%, 60.76%]</t>
        </is>
      </c>
      <c r="F13" s="24" t="n">
        <v>0.527</v>
      </c>
      <c r="G13" s="24" t="n">
        <v>0.5577</v>
      </c>
      <c r="H13" s="24" t="n">
        <v>0.5</v>
      </c>
      <c r="I13" s="24" t="n">
        <v>0.5273</v>
      </c>
      <c r="J13" s="24" t="n">
        <v>0.6364</v>
      </c>
      <c r="K13" s="23" t="inlineStr">
        <is>
          <t>N/A</t>
        </is>
      </c>
      <c r="L13" s="23" t="inlineStr">
        <is>
          <t>649.7 detik (~10.8m)</t>
        </is>
      </c>
      <c r="M13" s="23" t="inlineStr">
        <is>
          <t>3.76 GB</t>
        </is>
      </c>
      <c r="N13" s="21" t="inlineStr">
        <is>
          <t>Eksplorasi (OOF Selesai, OOD Fail)</t>
        </is>
      </c>
    </row>
    <row r="14" ht="20" customHeight="1">
      <c r="A14" s="25" t="inlineStr">
        <is>
          <t>Direct Gemini 3.1 Flash Lite</t>
        </is>
      </c>
      <c r="B14" s="26" t="inlineStr">
        <is>
          <t>Two-Stage Tesseract-to-LLM</t>
        </is>
      </c>
      <c r="C14" s="27" t="n">
        <v>0.6324</v>
      </c>
      <c r="D14" s="27" t="n">
        <v>0.7378</v>
      </c>
      <c r="E14" s="28" t="inlineStr">
        <is>
          <t>[58.78%, 68.92%]</t>
        </is>
      </c>
      <c r="F14" s="29" t="n">
        <v>0.6216</v>
      </c>
      <c r="G14" s="29" t="n">
        <v>0.5946</v>
      </c>
      <c r="H14" s="29" t="n">
        <v>0.5946</v>
      </c>
      <c r="I14" s="29" t="n">
        <v>0.6757</v>
      </c>
      <c r="J14" s="29" t="n">
        <v>0.6757</v>
      </c>
      <c r="K14" s="29" t="n">
        <v>0.6622</v>
      </c>
      <c r="L14" s="28" t="inlineStr">
        <is>
          <t>100.6 detik (1.36s/c)</t>
        </is>
      </c>
      <c r="M14" s="28" t="inlineStr">
        <is>
          <t>Rp703 (~Rp9.50/c)</t>
        </is>
      </c>
      <c r="N14" s="26" t="inlineStr">
        <is>
          <t>PRODUKSI AKTIF (Opt A)</t>
        </is>
      </c>
    </row>
    <row r="15" ht="20" customHeight="1">
      <c r="A15" s="4" t="inlineStr">
        <is>
          <t>Composite v4.x (Pure OCR)</t>
        </is>
      </c>
      <c r="B15" s="5" t="inlineStr">
        <is>
          <t>Pure 100% Tesseract OCR + Rules</t>
        </is>
      </c>
      <c r="C15" s="6" t="n">
        <v>0.771</v>
      </c>
      <c r="D15" s="6" t="n">
        <v>0.8516</v>
      </c>
      <c r="E15" s="7" t="inlineStr">
        <is>
          <t>[72.10%, 81.80%]</t>
        </is>
      </c>
      <c r="F15" s="8" t="n">
        <v>0.76</v>
      </c>
      <c r="G15" s="8" t="n">
        <v>0.8947000000000001</v>
      </c>
      <c r="H15" s="8" t="n">
        <v>0.36</v>
      </c>
      <c r="I15" s="8" t="n">
        <v>0.9</v>
      </c>
      <c r="J15" s="8" t="n">
        <v>0.9</v>
      </c>
      <c r="K15" s="8" t="n">
        <v>0.6847</v>
      </c>
      <c r="L15" s="7" t="inlineStr">
        <is>
          <t>0 detik (Offline)</t>
        </is>
      </c>
      <c r="M15" s="7" t="inlineStr">
        <is>
          <t>0 GB (CPU Local)</t>
        </is>
      </c>
      <c r="N15" s="5" t="inlineStr">
        <is>
          <t>Baseline Pure OCR</t>
        </is>
      </c>
    </row>
    <row r="16" ht="20" customHeight="1">
      <c r="A16" s="15" t="inlineStr">
        <is>
          <t>Combined v4.2 (Hybrid)</t>
        </is>
      </c>
      <c r="B16" s="16" t="inlineStr">
        <is>
          <t>Hybrid Layer + 3 Pillars &amp; Crop</t>
        </is>
      </c>
      <c r="C16" s="17" t="n">
        <v>0.8742</v>
      </c>
      <c r="D16" s="17" t="n">
        <v>0.9</v>
      </c>
      <c r="E16" s="18" t="inlineStr">
        <is>
          <t>[83.50%, 91.20%]</t>
        </is>
      </c>
      <c r="F16" s="19" t="n">
        <v>0.797</v>
      </c>
      <c r="G16" s="19" t="n">
        <v>0.923</v>
      </c>
      <c r="H16" s="19" t="n">
        <v>0.662</v>
      </c>
      <c r="I16" s="19" t="n">
        <v>0.909</v>
      </c>
      <c r="J16" s="19" t="n">
        <v>0.909</v>
      </c>
      <c r="K16" s="19" t="n">
        <v>0.7682</v>
      </c>
      <c r="L16" s="18" t="inlineStr">
        <is>
          <t>0 detik (Offline)</t>
        </is>
      </c>
      <c r="M16" s="18" t="inlineStr">
        <is>
          <t>0 GB (CPU Local)</t>
        </is>
      </c>
      <c r="N16" s="16" t="inlineStr">
        <is>
          <t>Fallback Produksi</t>
        </is>
      </c>
    </row>
    <row r="17" ht="22" customHeight="1">
      <c r="A17" s="30" t="inlineStr">
        <is>
          <t>Rata-rata Model Teruji</t>
        </is>
      </c>
      <c r="B17" s="31" t="inlineStr">
        <is>
          <t>Rata-rata Metrik</t>
        </is>
      </c>
      <c r="C17" s="32">
        <f>AVERAGE(C5:C16)</f>
        <v/>
      </c>
      <c r="D17" s="32">
        <f>AVERAGE(D5:D16)</f>
        <v/>
      </c>
      <c r="E17" s="33" t="inlineStr"/>
      <c r="F17" s="33" t="inlineStr"/>
      <c r="G17" s="33" t="inlineStr"/>
      <c r="H17" s="33" t="inlineStr"/>
      <c r="I17" s="33" t="inlineStr"/>
      <c r="J17" s="33" t="inlineStr"/>
      <c r="K17" s="33" t="inlineStr"/>
      <c r="L17" s="33" t="inlineStr"/>
      <c r="M17" s="33" t="inlineStr"/>
      <c r="N17" s="33" t="inlineStr"/>
    </row>
    <row r="18"/>
    <row r="19">
      <c r="A19" s="34" t="inlineStr">
        <is>
          <t>ANALISIS DELTA PERFORMANSI VS BASELINE PRE-TRAINED NER V1 (INDOBERT)</t>
        </is>
      </c>
    </row>
    <row r="20" ht="24" customHeight="1">
      <c r="A20" s="3" t="inlineStr">
        <is>
          <t>Model Komparasi</t>
        </is>
      </c>
      <c r="B20" s="3" t="inlineStr">
        <is>
          <t>Baseline Exact</t>
        </is>
      </c>
      <c r="C20" s="3" t="inlineStr">
        <is>
          <t>Model Exact</t>
        </is>
      </c>
      <c r="D20" s="3" t="inlineStr">
        <is>
          <t>Peningkatan Mutlak (pp)</t>
        </is>
      </c>
      <c r="E20" s="3" t="inlineStr">
        <is>
          <t>Peningkatan Relatif (%)</t>
        </is>
      </c>
      <c r="F20" s="3" t="inlineStr">
        <is>
          <t>Kesimpulan Arsitektural</t>
        </is>
      </c>
    </row>
    <row r="21" ht="20" customHeight="1">
      <c r="A21" s="4" t="inlineStr">
        <is>
          <t>IndoBERT Fine-Tuned Gagal (Phase v2)</t>
        </is>
      </c>
      <c r="B21" s="8">
        <f>C5</f>
        <v/>
      </c>
      <c r="C21" s="8">
        <f>C6</f>
        <v/>
      </c>
      <c r="D21" s="35">
        <f>C21-B21</f>
        <v/>
      </c>
      <c r="E21" s="36">
        <f>(C21-B21)/B21</f>
        <v/>
      </c>
      <c r="F21" s="5" t="inlineStr">
        <is>
          <t>Anjlok -11.3pp akibat catastrophic forgetting pada 59 sampel dan ketiadaan weighted loss.</t>
        </is>
      </c>
    </row>
    <row r="22" ht="20" customHeight="1">
      <c r="A22" s="15" t="inlineStr">
        <is>
          <t>GLiNER2.5 Base (arXiv:2507.18546)</t>
        </is>
      </c>
      <c r="B22" s="19">
        <f>C5</f>
        <v/>
      </c>
      <c r="C22" s="19">
        <f>C7</f>
        <v/>
      </c>
      <c r="D22" s="37">
        <f>C22-B22</f>
        <v/>
      </c>
      <c r="E22" s="38">
        <f>(C22-B22)/B22</f>
        <v/>
      </c>
      <c r="F22" s="16" t="inlineStr">
        <is>
          <t>Zero-shot boundary extractor melompat +15.91pp; nama kegiatan exact mencapai 31.1%.</t>
        </is>
      </c>
    </row>
    <row r="23" ht="20" customHeight="1">
      <c r="A23" s="4" t="inlineStr">
        <is>
          <t>mDeBERTa-v3-base (86M)</t>
        </is>
      </c>
      <c r="B23" s="8">
        <f>C5</f>
        <v/>
      </c>
      <c r="C23" s="8">
        <f>C9</f>
        <v/>
      </c>
      <c r="D23" s="35">
        <f>C23-B23</f>
        <v/>
      </c>
      <c r="E23" s="36">
        <f>(C23-B23)/B23</f>
        <v/>
      </c>
      <c r="F23" s="5" t="inlineStr">
        <is>
          <t>Peningkatan substansial (+22.04pp) pada recall entitas non-O via FP32 &amp; soft-capping.</t>
        </is>
      </c>
    </row>
    <row r="24" ht="20" customHeight="1">
      <c r="A24" s="15" t="inlineStr">
        <is>
          <t>GLiNER v2.1 Multilingual (urchade)</t>
        </is>
      </c>
      <c r="B24" s="19">
        <f>C5</f>
        <v/>
      </c>
      <c r="C24" s="19">
        <f>C10</f>
        <v/>
      </c>
      <c r="D24" s="37">
        <f>C24-B24</f>
        <v/>
      </c>
      <c r="E24" s="38">
        <f>(C24-B24)/B24</f>
        <v/>
      </c>
      <c r="F24" s="16" t="inlineStr">
        <is>
          <t>Zero-shot multilingual melompat +22.68pp; tanggal 58.2% tapi noise OCR ekstrem drop tajam.</t>
        </is>
      </c>
    </row>
    <row r="25" ht="20" customHeight="1">
      <c r="A25" s="4" t="inlineStr">
        <is>
          <t>XLM-RoBERTa-large (560M)</t>
        </is>
      </c>
      <c r="B25" s="8">
        <f>C5</f>
        <v/>
      </c>
      <c r="C25" s="8">
        <f>C11</f>
        <v/>
      </c>
      <c r="D25" s="35">
        <f>C25-B25</f>
        <v/>
      </c>
      <c r="E25" s="36">
        <f>(C25-B25)/B25</f>
        <v/>
      </c>
      <c r="F25" s="5" t="inlineStr">
        <is>
          <t>Model 560M melompat +30.75pp; representasi BPE multilingual sangat kuat.</t>
        </is>
      </c>
    </row>
    <row r="26" ht="20" customHeight="1">
      <c r="A26" s="15" t="inlineStr">
        <is>
          <t>IndoBERT-ner-gold Fine-Tuned (334M)</t>
        </is>
      </c>
      <c r="B26" s="19">
        <f>C5</f>
        <v/>
      </c>
      <c r="C26" s="19">
        <f>C12</f>
        <v/>
      </c>
      <c r="D26" s="37">
        <f>C26-B26</f>
        <v/>
      </c>
      <c r="E26" s="38">
        <f>(C26-B26)/B26</f>
        <v/>
      </c>
      <c r="F26" s="16" t="inlineStr">
        <is>
          <t>BEST TOKEN CLASSIFIER (+31.72pp vs pre-trained, +0.97pp vs XLM-RoBERTa-large, kegiatan 43.2%).</t>
        </is>
      </c>
    </row>
    <row r="27" ht="20" customHeight="1">
      <c r="A27" s="4" t="inlineStr">
        <is>
          <t>GLiNER v2.1 Fine-Tuned (300M)</t>
        </is>
      </c>
      <c r="B27" s="8">
        <f>C5</f>
        <v/>
      </c>
      <c r="C27" s="8">
        <f>C13</f>
        <v/>
      </c>
      <c r="D27" s="35">
        <f>C27-B27</f>
        <v/>
      </c>
      <c r="E27" s="36">
        <f>(C27-B27)/B27</f>
        <v/>
      </c>
      <c r="F27" s="5" t="inlineStr">
        <is>
          <t>BEST ENCODER OVERALL (+41.72pp vs baseline, exact 54.52%), namun OOD robustness gate FAIL (-6.36pp mutasi).</t>
        </is>
      </c>
    </row>
    <row r="28" ht="20" customHeight="1">
      <c r="A28" s="15" t="inlineStr">
        <is>
          <t>Direct Gemini 3.1 Flash Lite</t>
        </is>
      </c>
      <c r="B28" s="19">
        <f>C5</f>
        <v/>
      </c>
      <c r="C28" s="19">
        <f>C14</f>
        <v/>
      </c>
      <c r="D28" s="37">
        <f>C28-B28</f>
        <v/>
      </c>
      <c r="E28" s="38">
        <f>(C28-B28)/B28</f>
        <v/>
      </c>
      <c r="F28" s="16" t="inlineStr">
        <is>
          <t>LLM murni melampaui seluruh encoder lokal tanpa memerlukan fine-tuning.</t>
        </is>
      </c>
    </row>
    <row r="29" ht="20" customHeight="1">
      <c r="A29" s="4" t="inlineStr">
        <is>
          <t>Composite v4.x (Pure OCR Rules)</t>
        </is>
      </c>
      <c r="B29" s="8">
        <f>C5</f>
        <v/>
      </c>
      <c r="C29" s="8">
        <f>C15</f>
        <v/>
      </c>
      <c r="D29" s="35">
        <f>C29-B29</f>
        <v/>
      </c>
      <c r="E29" s="36">
        <f>(C29-B29)/B29</f>
        <v/>
      </c>
      <c r="F29" s="5" t="inlineStr">
        <is>
          <t>Rule deterministik offline tetap paling unggul pada domain penanggalan &amp; nomor.</t>
        </is>
      </c>
    </row>
    <row r="30" ht="20" customHeight="1">
      <c r="A30" s="15" t="inlineStr">
        <is>
          <t>Combined v4.2 (Hybrid Pipeline)</t>
        </is>
      </c>
      <c r="B30" s="19">
        <f>C5</f>
        <v/>
      </c>
      <c r="C30" s="19">
        <f>C16</f>
        <v/>
      </c>
      <c r="D30" s="37">
        <f>C30-B30</f>
        <v/>
      </c>
      <c r="E30" s="38">
        <f>(C30-B30)/B30</f>
        <v/>
      </c>
      <c r="F30" s="16" t="inlineStr">
        <is>
          <t>Pipeline komposit offline terbaik, unggul +74.62pp dibanding baseline NER v1.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52" customWidth="1" min="3" max="3"/>
    <col width="52" customWidth="1" min="4" max="4"/>
    <col width="52" customWidth="1" min="5" max="5"/>
    <col width="33" customWidth="1" min="6" max="6"/>
    <col width="52" customWidth="1" min="7" max="7"/>
  </cols>
  <sheetData>
    <row r="1" ht="26" customHeight="1">
      <c r="A1" s="1" t="inlineStr">
        <is>
          <t>SPESIFIKASI TEKNIS &amp; KONFIGURASI HYPERPARAMETER ENCODER (NER-ENCODER-001 &amp; NER-GLINER-002)</t>
        </is>
      </c>
    </row>
    <row r="2" ht="18" customHeight="1">
      <c r="A2" s="2" t="inlineStr">
        <is>
          <t>Perbandingan Parameter Pelatihan &amp; Stabilisasi Numerik untuk IndoBERT, mDeBERTa, XLM-RoBERTa, GLiNER v2.1, dan GLiNER2.5</t>
        </is>
      </c>
    </row>
    <row r="3"/>
    <row r="4" ht="26" customHeight="1">
      <c r="A4" s="3" t="inlineStr">
        <is>
          <t>Parameter / Spesifikasi</t>
        </is>
      </c>
      <c r="B4" s="3" t="inlineStr">
        <is>
          <t>treamyracle/indobert-ner-gold</t>
        </is>
      </c>
      <c r="C4" s="3" t="inlineStr">
        <is>
          <t>microsoft/mdeberta-v3-base</t>
        </is>
      </c>
      <c r="D4" s="3" t="inlineStr">
        <is>
          <t>facebookai/xlm-roberta-large</t>
        </is>
      </c>
      <c r="E4" s="3" t="inlineStr">
        <is>
          <t>urchade/gliner_multi-v2.1</t>
        </is>
      </c>
      <c r="F4" s="3" t="inlineStr">
        <is>
          <t>fastino/gliner2.5-base-v1</t>
        </is>
      </c>
      <c r="G4" s="3" t="inlineStr">
        <is>
          <t>Rasional &amp; Detail Desain Arsitektural</t>
        </is>
      </c>
    </row>
    <row r="5" ht="20" customHeight="1">
      <c r="A5" s="4" t="inlineStr">
        <is>
          <t>Model Checkpoint</t>
        </is>
      </c>
      <c r="B5" s="7" t="inlineStr">
        <is>
          <t>treamyracle/indobert-ner-gold</t>
        </is>
      </c>
      <c r="C5" s="7" t="inlineStr">
        <is>
          <t>microsoft/mdeberta-v3-base</t>
        </is>
      </c>
      <c r="D5" s="7" t="inlineStr">
        <is>
          <t>facebookai/xlm-roberta-large</t>
        </is>
      </c>
      <c r="E5" s="7" t="inlineStr">
        <is>
          <t>urchade/gliner_multi-v2.1</t>
        </is>
      </c>
      <c r="F5" s="7" t="inlineStr">
        <is>
          <t>fastino/gliner2.5-base-v1</t>
        </is>
      </c>
      <c r="G5" s="5" t="inlineStr">
        <is>
          <t>Bobot resmi dari Hugging Face Hub.</t>
        </is>
      </c>
    </row>
    <row r="6" ht="20" customHeight="1">
      <c r="A6" s="15" t="inlineStr">
        <is>
          <t>Jumlah Parameter</t>
        </is>
      </c>
      <c r="B6" s="18" t="inlineStr">
        <is>
          <t>334 Juta Parameter</t>
        </is>
      </c>
      <c r="C6" s="18" t="inlineStr">
        <is>
          <t>86 Juta Parameter</t>
        </is>
      </c>
      <c r="D6" s="18" t="inlineStr">
        <is>
          <t>560 Juta Parameter</t>
        </is>
      </c>
      <c r="E6" s="18" t="inlineStr">
        <is>
          <t>~300 Juta Parameter</t>
        </is>
      </c>
      <c r="F6" s="18" t="inlineStr">
        <is>
          <t>193.5 Juta Parameter</t>
        </is>
      </c>
      <c r="G6" s="16" t="inlineStr">
        <is>
          <t>GLiNER v2.1 memakai backbone mDeBERTa-v3-base + projection; GLiNER2.5 memakai boundary extractor.</t>
        </is>
      </c>
    </row>
    <row r="7" ht="20" customHeight="1">
      <c r="A7" s="4" t="inlineStr">
        <is>
          <t>Arsitektur Dasar</t>
        </is>
      </c>
      <c r="B7" s="7" t="inlineStr">
        <is>
          <t>BERT-large (Token Clf)</t>
        </is>
      </c>
      <c r="C7" s="7" t="inlineStr">
        <is>
          <t>DeBERTa-v2 (Disentangled)</t>
        </is>
      </c>
      <c r="D7" s="7" t="inlineStr">
        <is>
          <t>RoBERTa (Multilingual)</t>
        </is>
      </c>
      <c r="E7" s="7" t="inlineStr">
        <is>
          <t>Span Bi-Encoder (GLiNER)</t>
        </is>
      </c>
      <c r="F7" s="7" t="inlineStr">
        <is>
          <t>Boundary Extractor (GLiNER2)</t>
        </is>
      </c>
      <c r="G7" s="5" t="inlineStr">
        <is>
          <t>Token classification vs open-vocabulary span/boundary extraction.</t>
        </is>
      </c>
    </row>
    <row r="8" ht="20" customHeight="1">
      <c r="A8" s="15" t="inlineStr">
        <is>
          <t>Tokenizer &amp; Vocab</t>
        </is>
      </c>
      <c r="B8" s="18" t="inlineStr">
        <is>
          <t>BertTokenizerFast (32k)</t>
        </is>
      </c>
      <c r="C8" s="18" t="inlineStr">
        <is>
          <t>DeBERTaV2TokenizerFast (250k)</t>
        </is>
      </c>
      <c r="D8" s="18" t="inlineStr">
        <is>
          <t>XLMRobertaTokenizerFast (250k)</t>
        </is>
      </c>
      <c r="E8" s="18" t="inlineStr">
        <is>
          <t>DeBERTaV2TokenizerFast (250k)</t>
        </is>
      </c>
      <c r="F8" s="18" t="inlineStr">
        <is>
          <t>DeBERTaV2TokenizerFast (250k)</t>
        </is>
      </c>
      <c r="G8" s="16" t="inlineStr">
        <is>
          <t>IndoBERT monolingual Indonesia vs model-model multilingual lainnya.</t>
        </is>
      </c>
    </row>
    <row r="9" ht="20" customHeight="1">
      <c r="A9" s="4" t="inlineStr">
        <is>
          <t>Skema Validasi</t>
        </is>
      </c>
      <c r="B9" s="7" t="inlineStr">
        <is>
          <t>5-Fold Stratified CV</t>
        </is>
      </c>
      <c r="C9" s="7" t="inlineStr">
        <is>
          <t>5-Fold Stratified CV</t>
        </is>
      </c>
      <c r="D9" s="7" t="inlineStr">
        <is>
          <t>5-Fold Stratified CV</t>
        </is>
      </c>
      <c r="E9" s="7" t="inlineStr">
        <is>
          <t>5-Fold Stratified CV</t>
        </is>
      </c>
      <c r="F9" s="7" t="inlineStr">
        <is>
          <t>5-Fold Stratified CV</t>
        </is>
      </c>
      <c r="G9" s="5" t="inlineStr">
        <is>
          <t>Identik 100%: stratified berdasarkan kelengkapan field 74 dokumen.</t>
        </is>
      </c>
    </row>
    <row r="10" ht="20" customHeight="1">
      <c r="A10" s="15" t="inlineStr">
        <is>
          <t>Loss Function</t>
        </is>
      </c>
      <c r="B10" s="18" t="inlineStr">
        <is>
          <t>Weighted Cross Entropy</t>
        </is>
      </c>
      <c r="C10" s="18" t="inlineStr">
        <is>
          <t>Weighted Cross Entropy</t>
        </is>
      </c>
      <c r="D10" s="18" t="inlineStr">
        <is>
          <t>Weighted Cross Entropy</t>
        </is>
      </c>
      <c r="E10" s="18" t="inlineStr">
        <is>
          <t>Focal Span Loss (native)</t>
        </is>
      </c>
      <c r="F10" s="18" t="inlineStr">
        <is>
          <t>Boundary Proposal Loss</t>
        </is>
      </c>
      <c r="G10" s="16" t="inlineStr">
        <is>
          <t>Penyeimbang ketimpangan kelas entitas vs background token/span.</t>
        </is>
      </c>
    </row>
    <row r="11" ht="20" customHeight="1">
      <c r="A11" s="4" t="inlineStr">
        <is>
          <t>Optimizer</t>
        </is>
      </c>
      <c r="B11" s="7" t="inlineStr">
        <is>
          <t>Adafactor (scale=False)</t>
        </is>
      </c>
      <c r="C11" s="7" t="inlineStr">
        <is>
          <t>Adafactor (scale=False)</t>
        </is>
      </c>
      <c r="D11" s="7" t="inlineStr">
        <is>
          <t>Adafactor (scale=False)</t>
        </is>
      </c>
      <c r="E11" s="7" t="inlineStr">
        <is>
          <t>Adafactor (scale=False)</t>
        </is>
      </c>
      <c r="F11" s="7" t="inlineStr">
        <is>
          <t>AdamW (native 2-group)</t>
        </is>
      </c>
      <c r="G11" s="5" t="inlineStr">
        <is>
          <t>GLiNER2.5 mengunci trainer pada AdamW dua kelompok.</t>
        </is>
      </c>
    </row>
    <row r="12" ht="20" customHeight="1">
      <c r="A12" s="15" t="inlineStr">
        <is>
          <t>Learning Rate</t>
        </is>
      </c>
      <c r="B12" s="18" t="inlineStr">
        <is>
          <t>2.0e-5</t>
        </is>
      </c>
      <c r="C12" s="18" t="inlineStr">
        <is>
          <t>2.0e-5</t>
        </is>
      </c>
      <c r="D12" s="18" t="inlineStr">
        <is>
          <t>2.0e-5</t>
        </is>
      </c>
      <c r="E12" s="18" t="inlineStr">
        <is>
          <t>2.0e-5</t>
        </is>
      </c>
      <c r="F12" s="18" t="inlineStr">
        <is>
          <t>2.0e-5</t>
        </is>
      </c>
      <c r="G12" s="16" t="inlineStr">
        <is>
          <t>Learning rate standar fine-tuning transformer.</t>
        </is>
      </c>
    </row>
    <row r="13" ht="20" customHeight="1">
      <c r="A13" s="4" t="inlineStr">
        <is>
          <t>Weight Decay</t>
        </is>
      </c>
      <c r="B13" s="7" t="inlineStr">
        <is>
          <t>0.01</t>
        </is>
      </c>
      <c r="C13" s="7" t="inlineStr">
        <is>
          <t>0.01</t>
        </is>
      </c>
      <c r="D13" s="7" t="inlineStr">
        <is>
          <t>0.01</t>
        </is>
      </c>
      <c r="E13" s="7" t="inlineStr">
        <is>
          <t>0.01</t>
        </is>
      </c>
      <c r="F13" s="7" t="inlineStr">
        <is>
          <t>0.01</t>
        </is>
      </c>
      <c r="G13" s="5" t="inlineStr">
        <is>
          <t>Regularisasi L2 standar untuk mencegah overfitting.</t>
        </is>
      </c>
    </row>
    <row r="14" ht="20" customHeight="1">
      <c r="A14" s="15" t="inlineStr">
        <is>
          <t>Batch Size (Per Device)</t>
        </is>
      </c>
      <c r="B14" s="18" t="inlineStr">
        <is>
          <t>1</t>
        </is>
      </c>
      <c r="C14" s="18" t="inlineStr">
        <is>
          <t>1</t>
        </is>
      </c>
      <c r="D14" s="18" t="inlineStr">
        <is>
          <t>1</t>
        </is>
      </c>
      <c r="E14" s="18" t="inlineStr">
        <is>
          <t>1</t>
        </is>
      </c>
      <c r="F14" s="18" t="inlineStr">
        <is>
          <t>1</t>
        </is>
      </c>
      <c r="G14" s="16" t="inlineStr">
        <is>
          <t>Menghindari lonjakan memori aktivasi token pada GPU 8GB.</t>
        </is>
      </c>
    </row>
    <row r="15" ht="20" customHeight="1">
      <c r="A15" s="4" t="inlineStr">
        <is>
          <t>Gradient Accumulation</t>
        </is>
      </c>
      <c r="B15" s="7" t="inlineStr">
        <is>
          <t>8 langkah</t>
        </is>
      </c>
      <c r="C15" s="7" t="inlineStr">
        <is>
          <t>8 langkah</t>
        </is>
      </c>
      <c r="D15" s="7" t="inlineStr">
        <is>
          <t>8 langkah</t>
        </is>
      </c>
      <c r="E15" s="7" t="inlineStr">
        <is>
          <t>8 langkah</t>
        </is>
      </c>
      <c r="F15" s="7" t="inlineStr">
        <is>
          <t>8 langkah</t>
        </is>
      </c>
      <c r="G15" s="5" t="inlineStr">
        <is>
          <t>Effective Batch Size = 8.</t>
        </is>
      </c>
    </row>
    <row r="16" ht="20" customHeight="1">
      <c r="A16" s="15" t="inlineStr">
        <is>
          <t>Effective Batch Size</t>
        </is>
      </c>
      <c r="B16" s="18" t="inlineStr">
        <is>
          <t>8 dokumen</t>
        </is>
      </c>
      <c r="C16" s="18" t="inlineStr">
        <is>
          <t>8 dokumen</t>
        </is>
      </c>
      <c r="D16" s="18" t="inlineStr">
        <is>
          <t>8 dokumen</t>
        </is>
      </c>
      <c r="E16" s="18" t="inlineStr">
        <is>
          <t>8 dokumen</t>
        </is>
      </c>
      <c r="F16" s="18" t="inlineStr">
        <is>
          <t>8 dokumen</t>
        </is>
      </c>
      <c r="G16" s="16" t="inlineStr">
        <is>
          <t>Ukuran batch efektif yang stabil untuk optimasi gradien.</t>
        </is>
      </c>
    </row>
    <row r="17" ht="20" customHeight="1">
      <c r="A17" s="4" t="inlineStr">
        <is>
          <t>Total Epoch</t>
        </is>
      </c>
      <c r="B17" s="7" t="inlineStr">
        <is>
          <t>10 Epoch</t>
        </is>
      </c>
      <c r="C17" s="7" t="inlineStr">
        <is>
          <t>10 Epoch</t>
        </is>
      </c>
      <c r="D17" s="7" t="inlineStr">
        <is>
          <t>10 Epoch</t>
        </is>
      </c>
      <c r="E17" s="7" t="inlineStr">
        <is>
          <t>10 Epoch</t>
        </is>
      </c>
      <c r="F17" s="7" t="inlineStr">
        <is>
          <t>10 Epoch</t>
        </is>
      </c>
      <c r="G17" s="5" t="inlineStr">
        <is>
          <t>10 epoch per fold.</t>
        </is>
      </c>
    </row>
    <row r="18" ht="20" customHeight="1">
      <c r="A18" s="15" t="inlineStr">
        <is>
          <t>Presisi Bobot (Master)</t>
        </is>
      </c>
      <c r="B18" s="18" t="inlineStr">
        <is>
          <t>torch.float32</t>
        </is>
      </c>
      <c r="C18" s="18" t="inlineStr">
        <is>
          <t>torch.float32</t>
        </is>
      </c>
      <c r="D18" s="18" t="inlineStr">
        <is>
          <t>torch.float32</t>
        </is>
      </c>
      <c r="E18" s="18" t="inlineStr">
        <is>
          <t>torch.float32</t>
        </is>
      </c>
      <c r="F18" s="18" t="inlineStr">
        <is>
          <t>torch.float32</t>
        </is>
      </c>
      <c r="G18" s="16" t="inlineStr">
        <is>
          <t>Stabilitas master weight FP32.</t>
        </is>
      </c>
    </row>
    <row r="19" ht="20" customHeight="1">
      <c r="A19" s="4" t="inlineStr">
        <is>
          <t>Presisi Autocast</t>
        </is>
      </c>
      <c r="B19" s="7" t="inlineStr">
        <is>
          <t>bfloat16 (autocast)</t>
        </is>
      </c>
      <c r="C19" s="7" t="inlineStr">
        <is>
          <t>bfloat16 (autocast)</t>
        </is>
      </c>
      <c r="D19" s="7" t="inlineStr">
        <is>
          <t>bfloat16 (autocast)</t>
        </is>
      </c>
      <c r="E19" s="7" t="inlineStr">
        <is>
          <t>bfloat16 (autocast)</t>
        </is>
      </c>
      <c r="F19" s="7" t="inlineStr">
        <is>
          <t>bfloat16 (autocast)</t>
        </is>
      </c>
      <c r="G19" s="5" t="inlineStr">
        <is>
          <t>Didukung native oleh arsitektur GPU RTX 5050.</t>
        </is>
      </c>
    </row>
    <row r="20" ht="20" customHeight="1">
      <c r="A20" s="15" t="inlineStr">
        <is>
          <t>Gradient Checkpointing</t>
        </is>
      </c>
      <c r="B20" s="18" t="inlineStr">
        <is>
          <t>Aktif</t>
        </is>
      </c>
      <c r="C20" s="18" t="inlineStr">
        <is>
          <t>Aktif</t>
        </is>
      </c>
      <c r="D20" s="18" t="inlineStr">
        <is>
          <t>Aktif</t>
        </is>
      </c>
      <c r="E20" s="18" t="inlineStr">
        <is>
          <t>Aktif</t>
        </is>
      </c>
      <c r="F20" s="18" t="inlineStr">
        <is>
          <t>Aktif</t>
        </is>
      </c>
      <c r="G20" s="16" t="inlineStr">
        <is>
          <t>Memangkas VRAM aktivasi ~60%.</t>
        </is>
      </c>
    </row>
    <row r="21" ht="20" customHeight="1">
      <c r="A21" s="4" t="inlineStr">
        <is>
          <t>Max Sequence Length</t>
        </is>
      </c>
      <c r="B21" s="7" t="inlineStr">
        <is>
          <t>512 Token</t>
        </is>
      </c>
      <c r="C21" s="7" t="inlineStr">
        <is>
          <t>512 Token</t>
        </is>
      </c>
      <c r="D21" s="7" t="inlineStr">
        <is>
          <t>512 Token</t>
        </is>
      </c>
      <c r="E21" s="7" t="inlineStr">
        <is>
          <t>512 Token (max_width=64)</t>
        </is>
      </c>
      <c r="F21" s="7" t="inlineStr">
        <is>
          <t>512 Token</t>
        </is>
      </c>
      <c r="G21" s="5" t="inlineStr">
        <is>
          <t>Batas konteks maksimum.</t>
        </is>
      </c>
    </row>
    <row r="22" ht="20" customHeight="1">
      <c r="A22" s="15" t="inlineStr">
        <is>
          <t>Sliding Window Stride</t>
        </is>
      </c>
      <c r="B22" s="18" t="inlineStr">
        <is>
          <t>64 Token</t>
        </is>
      </c>
      <c r="C22" s="18" t="inlineStr">
        <is>
          <t>64 Token</t>
        </is>
      </c>
      <c r="D22" s="18" t="inlineStr">
        <is>
          <t>64 Token</t>
        </is>
      </c>
      <c r="E22" s="18" t="inlineStr">
        <is>
          <t>64 Token</t>
        </is>
      </c>
      <c r="F22" s="18" t="inlineStr">
        <is>
          <t>64 Token</t>
        </is>
      </c>
      <c r="G22" s="16" t="inlineStr">
        <is>
          <t>Overlap jendela sliding agar token tidak terpotong.</t>
        </is>
      </c>
    </row>
    <row r="23" ht="20" customHeight="1">
      <c r="A23" s="4" t="inlineStr">
        <is>
          <t>Hasil Sanity Overfit</t>
        </is>
      </c>
      <c r="B23" s="7" t="inlineStr">
        <is>
          <t>96.0% (24/25 token)</t>
        </is>
      </c>
      <c r="C23" s="7" t="inlineStr">
        <is>
          <t>100.0% (25/25 token)</t>
        </is>
      </c>
      <c r="D23" s="7" t="inlineStr">
        <is>
          <t>100.0% (25/25 token)</t>
        </is>
      </c>
      <c r="E23" s="7" t="inlineStr">
        <is>
          <t>75.0% (6/8 span, FAIL gate)</t>
        </is>
      </c>
      <c r="F23" s="7" t="inlineStr">
        <is>
          <t>N/A (Skipped)</t>
        </is>
      </c>
      <c r="G23" s="5" t="inlineStr">
        <is>
          <t>GLiNER v2.1 gagal gate sanity (6/8 span); GLiNER2.5 diskip.</t>
        </is>
      </c>
    </row>
    <row r="24" ht="20" customHeight="1">
      <c r="A24" s="15" t="inlineStr">
        <is>
          <t>Total Waktu Latih (5 Fold)</t>
        </is>
      </c>
      <c r="B24" s="18" t="inlineStr">
        <is>
          <t>700.1 detik (~11.7m)</t>
        </is>
      </c>
      <c r="C24" s="18" t="inlineStr">
        <is>
          <t>734 detik (~12.2m)</t>
        </is>
      </c>
      <c r="D24" s="18" t="inlineStr">
        <is>
          <t>794 detik (~13.2m)</t>
        </is>
      </c>
      <c r="E24" s="18" t="inlineStr">
        <is>
          <t>649.7 detik (~10.8m)</t>
        </is>
      </c>
      <c r="F24" s="18" t="inlineStr">
        <is>
          <t>69.0 detik (Fold 1 abort)</t>
        </is>
      </c>
      <c r="G24" s="16" t="inlineStr">
        <is>
          <t>GLiNER v2.1 tercepat per fold; GLiNER2.5 gagal di epoch 4 fold 1.</t>
        </is>
      </c>
    </row>
    <row r="25" ht="20" customHeight="1">
      <c r="A25" s="4" t="inlineStr">
        <is>
          <t>Puncak Konsumsi VRAM</t>
        </is>
      </c>
      <c r="B25" s="7" t="inlineStr">
        <is>
          <t>4.65 GB</t>
        </is>
      </c>
      <c r="C25" s="7" t="inlineStr">
        <is>
          <t>4.08 GB</t>
        </is>
      </c>
      <c r="D25" s="7" t="inlineStr">
        <is>
          <t>7.09 GB</t>
        </is>
      </c>
      <c r="E25" s="7" t="inlineStr">
        <is>
          <t>3.76 GB</t>
        </is>
      </c>
      <c r="F25" s="7" t="inlineStr">
        <is>
          <t>4.65 GB</t>
        </is>
      </c>
      <c r="G25" s="5" t="inlineStr">
        <is>
          <t>GLiNER v2.1 paling hemat VRAM (3.76 GB) berkat span bi-encoder.</t>
        </is>
      </c>
    </row>
    <row r="26" ht="20" customHeight="1">
      <c r="A26" s="15" t="inlineStr">
        <is>
          <t>Status Eksekusi OOF</t>
        </is>
      </c>
      <c r="B26" s="18" t="inlineStr">
        <is>
          <t>PASS (100% Selesai)</t>
        </is>
      </c>
      <c r="C26" s="18" t="inlineStr">
        <is>
          <t>PASS (100% Selesai)</t>
        </is>
      </c>
      <c r="D26" s="18" t="inlineStr">
        <is>
          <t>PASS (100% Selesai)</t>
        </is>
      </c>
      <c r="E26" s="18" t="inlineStr">
        <is>
          <t>OOF Selesai (OOD Fail)</t>
        </is>
      </c>
      <c r="F26" s="18" t="inlineStr">
        <is>
          <t>FAIL (FloatingPointError)</t>
        </is>
      </c>
      <c r="G26" s="16" t="inlineStr">
        <is>
          <t>GLiNER v2.1 menyelesaikan 5 fold OOF; GLiNER2.5 divergen di micro-batch.</t>
        </is>
      </c>
    </row>
    <row r="27"/>
    <row r="28"/>
    <row r="29"/>
    <row r="30">
      <c r="A30" s="34" t="inlineStr">
        <is>
          <t>2. Analisis Mendalam: Evaluasi Kegagalan Fine-Tuning (IndoBERT Phase v2 &amp; GLiNER2.5)</t>
        </is>
      </c>
    </row>
    <row r="31" ht="24" customHeight="1">
      <c r="A31" s="3" t="inlineStr">
        <is>
          <t>Dimensi Arsitektural / Faktor</t>
        </is>
      </c>
      <c r="B31" s="3" t="inlineStr">
        <is>
          <t>IndoBERT Fine-Tuned (Phase v2)</t>
        </is>
      </c>
      <c r="C31" s="3" t="inlineStr">
        <is>
          <t>GLiNER2.5 Base Fine-Tuned (NER-GLINER-002)</t>
        </is>
      </c>
      <c r="D31" s="3" t="inlineStr">
        <is>
          <t>Akar Masalah Numerik / Pelatihan</t>
        </is>
      </c>
      <c r="E31" s="3" t="inlineStr">
        <is>
          <t>Pelajaran Rekayasa &amp; Solusi Mitigasi</t>
        </is>
      </c>
    </row>
    <row r="32" ht="36" customHeight="1">
      <c r="A32" s="39" t="inlineStr">
        <is>
          <t>Checkpoint &amp; Loss Function</t>
        </is>
      </c>
      <c r="B32" s="40" t="inlineStr">
        <is>
          <t>indobenchmark/indobert-base-p1 dengan Cross-Entropy polos tanpa pembobotan.</t>
        </is>
      </c>
      <c r="C32" s="40" t="inlineStr">
        <is>
          <t>fastino/gliner2.5-base-v1 dengan boundary/proposal loss native ExtractorTrainer.</t>
        </is>
      </c>
      <c r="D32" s="40" t="inlineStr">
        <is>
          <t>IndoBERT: 92% token 'O' menenggelamkan gradien entitas; GLiNER2.5: proposal logit menghasilkan loss non-finite (NaN/Inf) pada 8 micro-batch.</t>
        </is>
      </c>
      <c r="E32" s="40" t="inlineStr">
        <is>
          <t>IndoBERT butuh pre-trained NER gold + weighted loss; GLiNER2.5 butuh clipping logit proposal atau gradient scaling lebih ketat.</t>
        </is>
      </c>
    </row>
    <row r="33" ht="36" customHeight="1">
      <c r="A33" s="41" t="inlineStr">
        <is>
          <t>Stabilitas Numerik &amp; Optimizer</t>
        </is>
      </c>
      <c r="B33" s="42" t="inlineStr">
        <is>
          <t>AdamW standar tanpa gradient clipping atau memory checkpointing.</t>
        </is>
      </c>
      <c r="C33" s="42" t="inlineStr">
        <is>
          <t>AdamW native 2-group dengan strict_training=True melempar FloatingPointError.</t>
        </is>
      </c>
      <c r="D33" s="42" t="inlineStr">
        <is>
          <t>Micro-batch loss non-finite otomatis zeroed oleh trainer, memicu pengecekan delayed counter dan menghentikan proses.</t>
        </is>
      </c>
      <c r="E33" s="42" t="inlineStr">
        <is>
          <t>GLiNER v2.1 dengan Adafactor terbukti jauh lebih stabil secara numerik dibanding AdamW native GLiNER2.5 pada dataset kecil.</t>
        </is>
      </c>
    </row>
    <row r="34" ht="36" customHeight="1">
      <c r="A34" s="39" t="inlineStr">
        <is>
          <t>Generalisasi Out-of-Distribution</t>
        </is>
      </c>
      <c r="B34" s="40" t="inlineStr">
        <is>
          <t>Model collapse: F1=0.015, memprediksi seluruh token sebagai 'O'.</t>
        </is>
      </c>
      <c r="C34" s="40" t="inlineStr">
        <is>
          <t>Belum mencapai tahap OOD karena pelatihan terhenti di Fold 1.</t>
        </is>
      </c>
      <c r="D34" s="40" t="inlineStr">
        <is>
          <t>Catastrophic forgetting pada 59 sampel latih akibat parameter dibuka 100% tanpa regularisasi memadai.</t>
        </is>
      </c>
      <c r="E34" s="40" t="inlineStr">
        <is>
          <t>GLiNER v2.1 OOF selesai (54.52%), namun drop -6.36pp mutasi membuktikan fine-tuning domain spesifik mengikis ketahanan zero-shot.</t>
        </is>
      </c>
    </row>
    <row r="35" ht="36" customHeight="1">
      <c r="A35" s="41" t="inlineStr">
        <is>
          <t>Rekomendasi Deployment Produksi</t>
        </is>
      </c>
      <c r="B35" s="42" t="inlineStr">
        <is>
          <t>Ditinggalkan permanen (closed di ledger).</t>
        </is>
      </c>
      <c r="C35" s="42" t="inlineStr">
        <is>
          <t>Ditinggalkan untuk fine-tuning; zero-shot tetap dapat dipakai bila diperlukan.</t>
        </is>
      </c>
      <c r="D35" s="42" t="inlineStr">
        <is>
          <t>Kedua model fine-tuning gagal memenuhi standar keandalan produksi 100% bebas intervensi.</t>
        </is>
      </c>
      <c r="E35" s="42" t="inlineStr">
        <is>
          <t>Arsitektur Two-Stage Tesseract-to-Gemini (Option A) tetap menjadi opsi produksi terbaik (63.24% exact, deterministik, stabil).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7" customWidth="1" min="5" max="5"/>
    <col width="12" customWidth="1" min="6" max="6"/>
    <col width="50" customWidth="1" min="7" max="7"/>
    <col width="13" customWidth="1" min="8" max="8"/>
    <col width="15" customWidth="1" min="9" max="9"/>
    <col width="15" customWidth="1" min="10" max="10"/>
    <col width="15" customWidth="1" min="11" max="11"/>
  </cols>
  <sheetData>
    <row r="1" ht="26" customHeight="1">
      <c r="A1" s="1" t="inlineStr">
        <is>
          <t>DISTRIBUSI METRIK PER-FOLD &amp; RESAMPLING BOOTSTRAP 1000X</t>
        </is>
      </c>
    </row>
    <row r="2"/>
    <row r="3">
      <c r="A3" s="34" t="inlineStr">
        <is>
          <t>1. Evaluasi Per-Fold: microsoft/mdeberta-v3-base (86M)</t>
        </is>
      </c>
    </row>
    <row r="4" ht="24" customHeight="1">
      <c r="A4" s="3" t="inlineStr">
        <is>
          <t>Fold</t>
        </is>
      </c>
      <c r="B4" s="3" t="inlineStr">
        <is>
          <t>Train Docs</t>
        </is>
      </c>
      <c r="C4" s="3" t="inlineStr">
        <is>
          <t>Val Docs</t>
        </is>
      </c>
      <c r="D4" s="3" t="inlineStr">
        <is>
          <t>Durasi (s)</t>
        </is>
      </c>
      <c r="E4" s="3" t="inlineStr">
        <is>
          <t>Nama Kegiatan</t>
        </is>
      </c>
      <c r="F4" s="3" t="inlineStr">
        <is>
          <t>Nomor</t>
        </is>
      </c>
      <c r="G4" s="3" t="inlineStr">
        <is>
          <t>Penyelenggara</t>
        </is>
      </c>
      <c r="H4" s="3" t="inlineStr">
        <is>
          <t>Tgl Mulai</t>
        </is>
      </c>
      <c r="I4" s="3" t="inlineStr">
        <is>
          <t>Tgl Selesai</t>
        </is>
      </c>
      <c r="J4" s="3" t="inlineStr">
        <is>
          <t>MACRO Exact</t>
        </is>
      </c>
      <c r="K4" s="3" t="inlineStr">
        <is>
          <t>MACRO Fuzzy</t>
        </is>
      </c>
    </row>
    <row r="5" ht="20" customHeight="1">
      <c r="A5" s="7" t="n">
        <v>1</v>
      </c>
      <c r="B5" s="7" t="n">
        <v>51</v>
      </c>
      <c r="C5" s="7" t="n">
        <v>23</v>
      </c>
      <c r="D5" s="43" t="n">
        <v>136.8</v>
      </c>
      <c r="E5" s="8" t="n">
        <v>0.1739</v>
      </c>
      <c r="F5" s="8" t="n">
        <v>0.5294</v>
      </c>
      <c r="G5" s="8" t="n">
        <v>0.1739</v>
      </c>
      <c r="H5" s="8" t="n">
        <v>0.2632</v>
      </c>
      <c r="I5" s="8" t="n">
        <v>0.4211</v>
      </c>
      <c r="J5" s="8" t="n">
        <v>0.2927</v>
      </c>
      <c r="K5" s="8" t="n">
        <v>0.5366</v>
      </c>
    </row>
    <row r="6" ht="20" customHeight="1">
      <c r="A6" s="18" t="n">
        <v>2</v>
      </c>
      <c r="B6" s="18" t="n">
        <v>59</v>
      </c>
      <c r="C6" s="18" t="n">
        <v>15</v>
      </c>
      <c r="D6" s="44" t="n">
        <v>142.1</v>
      </c>
      <c r="E6" s="19" t="n">
        <v>0.3333</v>
      </c>
      <c r="F6" s="19" t="n">
        <v>0.6</v>
      </c>
      <c r="G6" s="19" t="n">
        <v>0.3333</v>
      </c>
      <c r="H6" s="19" t="n">
        <v>0.3636</v>
      </c>
      <c r="I6" s="19" t="n">
        <v>0.4545</v>
      </c>
      <c r="J6" s="19" t="n">
        <v>0.4032</v>
      </c>
      <c r="K6" s="19" t="n">
        <v>0.5161</v>
      </c>
    </row>
    <row r="7" ht="20" customHeight="1">
      <c r="A7" s="7" t="n">
        <v>3</v>
      </c>
      <c r="B7" s="7" t="n">
        <v>59</v>
      </c>
      <c r="C7" s="7" t="n">
        <v>15</v>
      </c>
      <c r="D7" s="43" t="n">
        <v>139.5</v>
      </c>
      <c r="E7" s="8" t="n">
        <v>0.2667</v>
      </c>
      <c r="F7" s="8" t="n">
        <v>0.5556</v>
      </c>
      <c r="G7" s="8" t="n">
        <v>0.2667</v>
      </c>
      <c r="H7" s="8" t="n">
        <v>0.3</v>
      </c>
      <c r="I7" s="8" t="n">
        <v>0.4</v>
      </c>
      <c r="J7" s="8" t="n">
        <v>0.3448</v>
      </c>
      <c r="K7" s="8" t="n">
        <v>0.5</v>
      </c>
    </row>
    <row r="8" ht="20" customHeight="1">
      <c r="A8" s="18" t="n">
        <v>4</v>
      </c>
      <c r="B8" s="18" t="n">
        <v>59</v>
      </c>
      <c r="C8" s="18" t="n">
        <v>15</v>
      </c>
      <c r="D8" s="44" t="n">
        <v>145.3</v>
      </c>
      <c r="E8" s="19" t="n">
        <v>0.3333</v>
      </c>
      <c r="F8" s="19" t="n">
        <v>0.5556</v>
      </c>
      <c r="G8" s="19" t="n">
        <v>0.3333</v>
      </c>
      <c r="H8" s="19" t="n">
        <v>0.4</v>
      </c>
      <c r="I8" s="19" t="n">
        <v>0.4</v>
      </c>
      <c r="J8" s="19" t="n">
        <v>0.3966</v>
      </c>
      <c r="K8" s="19" t="n">
        <v>0.5</v>
      </c>
    </row>
    <row r="9" ht="20" customHeight="1">
      <c r="A9" s="7" t="n">
        <v>5</v>
      </c>
      <c r="B9" s="7" t="n">
        <v>69</v>
      </c>
      <c r="C9" s="7" t="n">
        <v>6</v>
      </c>
      <c r="D9" s="43" t="n">
        <v>170.5</v>
      </c>
      <c r="E9" s="8" t="n">
        <v>0.1667</v>
      </c>
      <c r="F9" s="8" t="n">
        <v>0.5714</v>
      </c>
      <c r="G9" s="8" t="n">
        <v>0.1667</v>
      </c>
      <c r="H9" s="8" t="n">
        <v>0.3</v>
      </c>
      <c r="I9" s="8" t="n">
        <v>0.4</v>
      </c>
      <c r="J9" s="8" t="n">
        <v>0.3077</v>
      </c>
      <c r="K9" s="8" t="n">
        <v>0.5128</v>
      </c>
    </row>
    <row r="10" ht="22" customHeight="1">
      <c r="A10" s="45" t="inlineStr">
        <is>
          <t>Rata-rata OOF</t>
        </is>
      </c>
      <c r="B10" s="46">
        <f>SUM(B5:B9)/5</f>
        <v/>
      </c>
      <c r="C10" s="46">
        <f>SUM(C5:C9)</f>
        <v/>
      </c>
      <c r="D10" s="47">
        <f>SUM(D5:D9)</f>
        <v/>
      </c>
      <c r="E10" s="32">
        <f>AVERAGE(E5:E9)</f>
        <v/>
      </c>
      <c r="F10" s="32">
        <f>AVERAGE(F5:F9)</f>
        <v/>
      </c>
      <c r="G10" s="32">
        <f>AVERAGE(G5:G9)</f>
        <v/>
      </c>
      <c r="H10" s="32">
        <f>AVERAGE(H5:H9)</f>
        <v/>
      </c>
      <c r="I10" s="32">
        <f>AVERAGE(I5:I9)</f>
        <v/>
      </c>
      <c r="J10" s="32">
        <f>AVERAGE(J5:J9)</f>
        <v/>
      </c>
      <c r="K10" s="32">
        <f>AVERAGE(K5:K9)</f>
        <v/>
      </c>
    </row>
    <row r="11"/>
    <row r="12">
      <c r="A12" s="34" t="inlineStr">
        <is>
          <t>2. Evaluasi Per-Fold: facebookai/xlm-roberta-large (560M)</t>
        </is>
      </c>
    </row>
    <row r="13" ht="24" customHeight="1">
      <c r="A13" s="3" t="inlineStr">
        <is>
          <t>Fold</t>
        </is>
      </c>
      <c r="B13" s="3" t="inlineStr">
        <is>
          <t>Train Docs</t>
        </is>
      </c>
      <c r="C13" s="3" t="inlineStr">
        <is>
          <t>Val Docs</t>
        </is>
      </c>
      <c r="D13" s="3" t="inlineStr">
        <is>
          <t>Durasi (s)</t>
        </is>
      </c>
      <c r="E13" s="3" t="inlineStr">
        <is>
          <t>Nama Kegiatan</t>
        </is>
      </c>
      <c r="F13" s="3" t="inlineStr">
        <is>
          <t>Nomor</t>
        </is>
      </c>
      <c r="G13" s="3" t="inlineStr">
        <is>
          <t>Penyelenggara</t>
        </is>
      </c>
      <c r="H13" s="3" t="inlineStr">
        <is>
          <t>Tgl Mulai</t>
        </is>
      </c>
      <c r="I13" s="3" t="inlineStr">
        <is>
          <t>Tgl Selesai</t>
        </is>
      </c>
      <c r="J13" s="3" t="inlineStr">
        <is>
          <t>MACRO Exact</t>
        </is>
      </c>
      <c r="K13" s="3" t="inlineStr">
        <is>
          <t>MACRO Fuzzy</t>
        </is>
      </c>
    </row>
    <row r="14" ht="20" customHeight="1">
      <c r="A14" s="18" t="n">
        <v>1</v>
      </c>
      <c r="B14" s="18" t="n">
        <v>51</v>
      </c>
      <c r="C14" s="18" t="n">
        <v>23</v>
      </c>
      <c r="D14" s="44" t="n">
        <v>129.9</v>
      </c>
      <c r="E14" s="19" t="n">
        <v>0.2609</v>
      </c>
      <c r="F14" s="19" t="n">
        <v>0.5881999999999999</v>
      </c>
      <c r="G14" s="19" t="n">
        <v>0.3043</v>
      </c>
      <c r="H14" s="19" t="n">
        <v>0.4737</v>
      </c>
      <c r="I14" s="19" t="n">
        <v>0.5789</v>
      </c>
      <c r="J14" s="19" t="n">
        <v>0.4268</v>
      </c>
      <c r="K14" s="19" t="n">
        <v>0.5610000000000001</v>
      </c>
    </row>
    <row r="15" ht="20" customHeight="1">
      <c r="A15" s="7" t="n">
        <v>2</v>
      </c>
      <c r="B15" s="7" t="n">
        <v>59</v>
      </c>
      <c r="C15" s="7" t="n">
        <v>15</v>
      </c>
      <c r="D15" s="43" t="n">
        <v>161.4</v>
      </c>
      <c r="E15" s="8" t="n">
        <v>0.4</v>
      </c>
      <c r="F15" s="8" t="n">
        <v>0.6</v>
      </c>
      <c r="G15" s="8" t="n">
        <v>0.4667</v>
      </c>
      <c r="H15" s="8" t="n">
        <v>0.4545</v>
      </c>
      <c r="I15" s="8" t="n">
        <v>0.4545</v>
      </c>
      <c r="J15" s="8" t="n">
        <v>0.4677</v>
      </c>
      <c r="K15" s="8" t="n">
        <v>0.5484</v>
      </c>
    </row>
    <row r="16" ht="20" customHeight="1">
      <c r="A16" s="18" t="n">
        <v>3</v>
      </c>
      <c r="B16" s="18" t="n">
        <v>59</v>
      </c>
      <c r="C16" s="18" t="n">
        <v>15</v>
      </c>
      <c r="D16" s="44" t="n">
        <v>164.2</v>
      </c>
      <c r="E16" s="19" t="n">
        <v>0.4</v>
      </c>
      <c r="F16" s="19" t="n">
        <v>0.6667</v>
      </c>
      <c r="G16" s="19" t="n">
        <v>0.4</v>
      </c>
      <c r="H16" s="19" t="n">
        <v>0.5</v>
      </c>
      <c r="I16" s="19" t="n">
        <v>0.4</v>
      </c>
      <c r="J16" s="19" t="n">
        <v>0.4655</v>
      </c>
      <c r="K16" s="19" t="n">
        <v>0.569</v>
      </c>
    </row>
    <row r="17" ht="20" customHeight="1">
      <c r="A17" s="7" t="n">
        <v>4</v>
      </c>
      <c r="B17" s="7" t="n">
        <v>59</v>
      </c>
      <c r="C17" s="7" t="n">
        <v>15</v>
      </c>
      <c r="D17" s="43" t="n">
        <v>165.8</v>
      </c>
      <c r="E17" s="8" t="n">
        <v>0.4</v>
      </c>
      <c r="F17" s="8" t="n">
        <v>0.5556</v>
      </c>
      <c r="G17" s="8" t="n">
        <v>0.4</v>
      </c>
      <c r="H17" s="8" t="n">
        <v>0.4</v>
      </c>
      <c r="I17" s="8" t="n">
        <v>0.4</v>
      </c>
      <c r="J17" s="8" t="n">
        <v>0.431</v>
      </c>
      <c r="K17" s="8" t="n">
        <v>0.5345</v>
      </c>
    </row>
    <row r="18" ht="20" customHeight="1">
      <c r="A18" s="18" t="n">
        <v>5</v>
      </c>
      <c r="B18" s="18" t="n">
        <v>69</v>
      </c>
      <c r="C18" s="18" t="n">
        <v>6</v>
      </c>
      <c r="D18" s="44" t="n">
        <v>173.3</v>
      </c>
      <c r="E18" s="19" t="n">
        <v>0.3333</v>
      </c>
      <c r="F18" s="19" t="n">
        <v>0.5714</v>
      </c>
      <c r="G18" s="19" t="n">
        <v>0.3333</v>
      </c>
      <c r="H18" s="19" t="n">
        <v>0.4</v>
      </c>
      <c r="I18" s="19" t="n">
        <v>0.4</v>
      </c>
      <c r="J18" s="19" t="n">
        <v>0.3846</v>
      </c>
      <c r="K18" s="19" t="n">
        <v>0.5385</v>
      </c>
    </row>
    <row r="19" ht="22" customHeight="1">
      <c r="A19" s="45" t="inlineStr">
        <is>
          <t>Rata-rata OOF</t>
        </is>
      </c>
      <c r="B19" s="46">
        <f>SUM(B14:B18)/5</f>
        <v/>
      </c>
      <c r="C19" s="46">
        <f>SUM(C14:C18)</f>
        <v/>
      </c>
      <c r="D19" s="47">
        <f>SUM(D14:D18)</f>
        <v/>
      </c>
      <c r="E19" s="32">
        <f>AVERAGE(E14:E18)</f>
        <v/>
      </c>
      <c r="F19" s="32">
        <f>AVERAGE(F14:F18)</f>
        <v/>
      </c>
      <c r="G19" s="32">
        <f>AVERAGE(G14:G18)</f>
        <v/>
      </c>
      <c r="H19" s="32">
        <f>AVERAGE(H14:H18)</f>
        <v/>
      </c>
      <c r="I19" s="32">
        <f>AVERAGE(I14:I18)</f>
        <v/>
      </c>
      <c r="J19" s="32">
        <f>AVERAGE(J14:J18)</f>
        <v/>
      </c>
      <c r="K19" s="32">
        <f>AVERAGE(K14:K18)</f>
        <v/>
      </c>
    </row>
    <row r="20"/>
    <row r="21">
      <c r="A21" s="34" t="inlineStr">
        <is>
          <t>3. Evaluasi Per-Fold: treamyracle/indobert-ner-gold (334M)</t>
        </is>
      </c>
    </row>
    <row r="22" ht="24" customHeight="1">
      <c r="A22" s="3" t="inlineStr">
        <is>
          <t>Fold</t>
        </is>
      </c>
      <c r="B22" s="3" t="inlineStr">
        <is>
          <t>Train Docs</t>
        </is>
      </c>
      <c r="C22" s="3" t="inlineStr">
        <is>
          <t>Val Docs</t>
        </is>
      </c>
      <c r="D22" s="3" t="inlineStr">
        <is>
          <t>Durasi (s)</t>
        </is>
      </c>
      <c r="E22" s="3" t="inlineStr">
        <is>
          <t>Nama Kegiatan</t>
        </is>
      </c>
      <c r="F22" s="3" t="inlineStr">
        <is>
          <t>Nomor</t>
        </is>
      </c>
      <c r="G22" s="3" t="inlineStr">
        <is>
          <t>Penyelenggara</t>
        </is>
      </c>
      <c r="H22" s="3" t="inlineStr">
        <is>
          <t>Tgl Mulai</t>
        </is>
      </c>
      <c r="I22" s="3" t="inlineStr">
        <is>
          <t>Tgl Selesai</t>
        </is>
      </c>
      <c r="J22" s="3" t="inlineStr">
        <is>
          <t>MACRO Exact</t>
        </is>
      </c>
      <c r="K22" s="3" t="inlineStr">
        <is>
          <t>MACRO Fuzzy</t>
        </is>
      </c>
    </row>
    <row r="23" ht="20" customHeight="1">
      <c r="A23" s="7" t="n">
        <v>1</v>
      </c>
      <c r="B23" s="7" t="n">
        <v>51</v>
      </c>
      <c r="C23" s="7" t="n">
        <v>23</v>
      </c>
      <c r="D23" s="43" t="n">
        <v>114</v>
      </c>
      <c r="E23" s="8" t="n">
        <v>0.4348</v>
      </c>
      <c r="F23" s="8" t="n">
        <v>0.5294</v>
      </c>
      <c r="G23" s="8" t="n">
        <v>0.3043</v>
      </c>
      <c r="H23" s="8" t="n">
        <v>0.4737</v>
      </c>
      <c r="I23" s="8" t="n">
        <v>0.4737</v>
      </c>
      <c r="J23" s="8" t="n">
        <v>0.4356</v>
      </c>
      <c r="K23" s="8" t="n">
        <v>0.5545</v>
      </c>
    </row>
    <row r="24" ht="20" customHeight="1">
      <c r="A24" s="18" t="n">
        <v>2</v>
      </c>
      <c r="B24" s="18" t="n">
        <v>53</v>
      </c>
      <c r="C24" s="18" t="n">
        <v>21</v>
      </c>
      <c r="D24" s="44" t="n">
        <v>118.5</v>
      </c>
      <c r="E24" s="19" t="n">
        <v>0.5238</v>
      </c>
      <c r="F24" s="19" t="n">
        <v>0.5</v>
      </c>
      <c r="G24" s="19" t="n">
        <v>0.4286</v>
      </c>
      <c r="H24" s="19" t="n">
        <v>0.5</v>
      </c>
      <c r="I24" s="19" t="n">
        <v>0.3571</v>
      </c>
      <c r="J24" s="19" t="n">
        <v>0.4643</v>
      </c>
      <c r="K24" s="19" t="n">
        <v>0.5714</v>
      </c>
    </row>
    <row r="25" ht="20" customHeight="1">
      <c r="A25" s="7" t="n">
        <v>3</v>
      </c>
      <c r="B25" s="7" t="n">
        <v>59</v>
      </c>
      <c r="C25" s="7" t="n">
        <v>15</v>
      </c>
      <c r="D25" s="43" t="n">
        <v>134.2</v>
      </c>
      <c r="E25" s="8" t="n">
        <v>0.2</v>
      </c>
      <c r="F25" s="8" t="n">
        <v>0.8</v>
      </c>
      <c r="G25" s="8" t="n">
        <v>0.2</v>
      </c>
      <c r="H25" s="8" t="n">
        <v>0.4167</v>
      </c>
      <c r="I25" s="8" t="n">
        <v>0.25</v>
      </c>
      <c r="J25" s="8" t="n">
        <v>0.3438</v>
      </c>
      <c r="K25" s="8" t="n">
        <v>0.5155999999999999</v>
      </c>
    </row>
    <row r="26" ht="20" customHeight="1">
      <c r="A26" s="18" t="n">
        <v>4</v>
      </c>
      <c r="B26" s="18" t="n">
        <v>64</v>
      </c>
      <c r="C26" s="18" t="n">
        <v>10</v>
      </c>
      <c r="D26" s="44" t="n">
        <v>140.3</v>
      </c>
      <c r="E26" s="19" t="n">
        <v>0.5</v>
      </c>
      <c r="F26" s="19" t="n">
        <v>0.4286</v>
      </c>
      <c r="G26" s="19" t="n">
        <v>0.5</v>
      </c>
      <c r="H26" s="19" t="n">
        <v>0.8</v>
      </c>
      <c r="I26" s="19" t="n">
        <v>0.6</v>
      </c>
      <c r="J26" s="19" t="n">
        <v>0.5405</v>
      </c>
      <c r="K26" s="19" t="n">
        <v>0.6757</v>
      </c>
    </row>
    <row r="27" ht="20" customHeight="1">
      <c r="A27" s="7" t="n">
        <v>5</v>
      </c>
      <c r="B27" s="7" t="n">
        <v>69</v>
      </c>
      <c r="C27" s="7" t="n">
        <v>5</v>
      </c>
      <c r="D27" s="43" t="n">
        <v>161.2</v>
      </c>
      <c r="E27" s="8" t="n">
        <v>0.6</v>
      </c>
      <c r="F27" s="8" t="n">
        <v>0.75</v>
      </c>
      <c r="G27" s="8" t="n">
        <v>0.6</v>
      </c>
      <c r="H27" s="8" t="n">
        <v>0.4</v>
      </c>
      <c r="I27" s="8" t="n">
        <v>0.4</v>
      </c>
      <c r="J27" s="8" t="n">
        <v>0.5417</v>
      </c>
      <c r="K27" s="8" t="n">
        <v>0.625</v>
      </c>
    </row>
    <row r="28" ht="22" customHeight="1">
      <c r="A28" s="45" t="inlineStr">
        <is>
          <t>Rata-rata OOF</t>
        </is>
      </c>
      <c r="B28" s="46">
        <f>SUM(B23:B27)/5</f>
        <v/>
      </c>
      <c r="C28" s="46">
        <f>SUM(C23:C27)</f>
        <v/>
      </c>
      <c r="D28" s="47">
        <f>SUM(D23:D27)</f>
        <v/>
      </c>
      <c r="E28" s="32">
        <f>AVERAGE(E23:E27)</f>
        <v/>
      </c>
      <c r="F28" s="32">
        <f>AVERAGE(F23:F27)</f>
        <v/>
      </c>
      <c r="G28" s="32">
        <f>AVERAGE(G23:G27)</f>
        <v/>
      </c>
      <c r="H28" s="32">
        <f>AVERAGE(H23:H27)</f>
        <v/>
      </c>
      <c r="I28" s="32">
        <f>AVERAGE(I23:I27)</f>
        <v/>
      </c>
      <c r="J28" s="32">
        <f>AVERAGE(J23:J27)</f>
        <v/>
      </c>
      <c r="K28" s="32">
        <f>AVERAGE(K23:K27)</f>
        <v/>
      </c>
    </row>
    <row r="29"/>
    <row r="30">
      <c r="A30" s="34" t="inlineStr">
        <is>
          <t>4. Evaluasi Per-Fold: urchade/gliner_multi-v2.1 (300M) — BEST ENCODER OVERALL</t>
        </is>
      </c>
    </row>
    <row r="31" ht="24" customHeight="1">
      <c r="A31" s="3" t="inlineStr">
        <is>
          <t>Fold</t>
        </is>
      </c>
      <c r="B31" s="3" t="inlineStr">
        <is>
          <t>Train Docs</t>
        </is>
      </c>
      <c r="C31" s="3" t="inlineStr">
        <is>
          <t>Val Docs</t>
        </is>
      </c>
      <c r="D31" s="3" t="inlineStr">
        <is>
          <t>Durasi (s)</t>
        </is>
      </c>
      <c r="E31" s="3" t="inlineStr">
        <is>
          <t>Nama Kegiatan</t>
        </is>
      </c>
      <c r="F31" s="3" t="inlineStr">
        <is>
          <t>Nomor</t>
        </is>
      </c>
      <c r="G31" s="3" t="inlineStr">
        <is>
          <t>Penyelenggara</t>
        </is>
      </c>
      <c r="H31" s="3" t="inlineStr">
        <is>
          <t>Tgl Mulai</t>
        </is>
      </c>
      <c r="I31" s="3" t="inlineStr">
        <is>
          <t>Tgl Selesai</t>
        </is>
      </c>
      <c r="J31" s="3" t="inlineStr">
        <is>
          <t>MACRO Exact</t>
        </is>
      </c>
      <c r="K31" s="3" t="inlineStr">
        <is>
          <t>MACRO Fuzzy</t>
        </is>
      </c>
    </row>
    <row r="32" ht="20" customHeight="1">
      <c r="A32" s="18" t="n">
        <v>1</v>
      </c>
      <c r="B32" s="18" t="n">
        <v>51</v>
      </c>
      <c r="C32" s="18" t="n">
        <v>23</v>
      </c>
      <c r="D32" s="44" t="n">
        <v>133.2</v>
      </c>
      <c r="E32" s="19" t="n">
        <v>0.5217000000000001</v>
      </c>
      <c r="F32" s="19" t="n">
        <v>0.6471</v>
      </c>
      <c r="G32" s="19" t="n">
        <v>0.5652</v>
      </c>
      <c r="H32" s="19" t="n">
        <v>0.4737</v>
      </c>
      <c r="I32" s="19" t="n">
        <v>0.6316000000000001</v>
      </c>
      <c r="J32" s="19" t="n">
        <v>0.5644</v>
      </c>
      <c r="K32" s="19" t="n">
        <v>0.6435999999999999</v>
      </c>
    </row>
    <row r="33" ht="20" customHeight="1">
      <c r="A33" s="7" t="n">
        <v>2</v>
      </c>
      <c r="B33" s="7" t="n">
        <v>53</v>
      </c>
      <c r="C33" s="7" t="n">
        <v>21</v>
      </c>
      <c r="D33" s="43" t="n">
        <v>136.1</v>
      </c>
      <c r="E33" s="8" t="n">
        <v>0.5714</v>
      </c>
      <c r="F33" s="8" t="n">
        <v>0.4286</v>
      </c>
      <c r="G33" s="8" t="n">
        <v>0.4762</v>
      </c>
      <c r="H33" s="8" t="n">
        <v>0.5714</v>
      </c>
      <c r="I33" s="8" t="n">
        <v>0.6429</v>
      </c>
      <c r="J33" s="8" t="n">
        <v>0.5357</v>
      </c>
      <c r="K33" s="8" t="n">
        <v>0.6429</v>
      </c>
    </row>
    <row r="34" ht="20" customHeight="1">
      <c r="A34" s="18" t="n">
        <v>3</v>
      </c>
      <c r="B34" s="18" t="n">
        <v>59</v>
      </c>
      <c r="C34" s="18" t="n">
        <v>15</v>
      </c>
      <c r="D34" s="44" t="n">
        <v>137.9</v>
      </c>
      <c r="E34" s="19" t="n">
        <v>0.5333</v>
      </c>
      <c r="F34" s="19" t="n">
        <v>0.6</v>
      </c>
      <c r="G34" s="19" t="n">
        <v>0.4</v>
      </c>
      <c r="H34" s="19" t="n">
        <v>0.5</v>
      </c>
      <c r="I34" s="19" t="n">
        <v>0.6667</v>
      </c>
      <c r="J34" s="19" t="n">
        <v>0.5312</v>
      </c>
      <c r="K34" s="19" t="n">
        <v>0.625</v>
      </c>
    </row>
    <row r="35" ht="20" customHeight="1">
      <c r="A35" s="7" t="n">
        <v>4</v>
      </c>
      <c r="B35" s="7" t="n">
        <v>64</v>
      </c>
      <c r="C35" s="7" t="n">
        <v>10</v>
      </c>
      <c r="D35" s="43" t="n">
        <v>142.9</v>
      </c>
      <c r="E35" s="8" t="n">
        <v>0.4</v>
      </c>
      <c r="F35" s="8" t="n">
        <v>0.7143</v>
      </c>
      <c r="G35" s="8" t="n">
        <v>0.4</v>
      </c>
      <c r="H35" s="8" t="n">
        <v>0.8</v>
      </c>
      <c r="I35" s="8" t="n">
        <v>0.8</v>
      </c>
      <c r="J35" s="8" t="n">
        <v>0.5676</v>
      </c>
      <c r="K35" s="8" t="n">
        <v>0.6757</v>
      </c>
    </row>
    <row r="36" ht="20" customHeight="1">
      <c r="A36" s="18" t="n">
        <v>5</v>
      </c>
      <c r="B36" s="18" t="n">
        <v>69</v>
      </c>
      <c r="C36" s="18" t="n">
        <v>5</v>
      </c>
      <c r="D36" s="44" t="n">
        <v>151.1</v>
      </c>
      <c r="E36" s="19" t="n">
        <v>0.6</v>
      </c>
      <c r="F36" s="19" t="n">
        <v>0.25</v>
      </c>
      <c r="G36" s="19" t="n">
        <v>0.8</v>
      </c>
      <c r="H36" s="19" t="n">
        <v>0.4</v>
      </c>
      <c r="I36" s="19" t="n">
        <v>0.4</v>
      </c>
      <c r="J36" s="19" t="n">
        <v>0.5</v>
      </c>
      <c r="K36" s="19" t="n">
        <v>0.5</v>
      </c>
    </row>
    <row r="37" ht="22" customHeight="1">
      <c r="A37" s="45" t="inlineStr">
        <is>
          <t>Rata-rata OOF</t>
        </is>
      </c>
      <c r="B37" s="46">
        <f>SUM(B32:B36)/5</f>
        <v/>
      </c>
      <c r="C37" s="46">
        <f>SUM(C32:C36)</f>
        <v/>
      </c>
      <c r="D37" s="47">
        <f>SUM(D32:D36)</f>
        <v/>
      </c>
      <c r="E37" s="32">
        <f>AVERAGE(E32:E36)</f>
        <v/>
      </c>
      <c r="F37" s="32">
        <f>AVERAGE(F32:F36)</f>
        <v/>
      </c>
      <c r="G37" s="32">
        <f>AVERAGE(G32:G36)</f>
        <v/>
      </c>
      <c r="H37" s="32">
        <f>AVERAGE(H32:H36)</f>
        <v/>
      </c>
      <c r="I37" s="32">
        <f>AVERAGE(I32:I36)</f>
        <v/>
      </c>
      <c r="J37" s="32">
        <f>AVERAGE(J32:J36)</f>
        <v/>
      </c>
      <c r="K37" s="32">
        <f>AVERAGE(K32:K36)</f>
        <v/>
      </c>
    </row>
    <row r="38"/>
    <row r="39">
      <c r="A39" s="34" t="inlineStr">
        <is>
          <t>5. Validasi Statistik Bootstrap 1000x Resampling (Exact Macro)</t>
        </is>
      </c>
    </row>
    <row r="40" ht="24" customHeight="1">
      <c r="A40" s="3" t="inlineStr">
        <is>
          <t>Model Evaluasi</t>
        </is>
      </c>
      <c r="B40" s="3" t="inlineStr">
        <is>
          <t>Sampel Dokumen</t>
        </is>
      </c>
      <c r="C40" s="3" t="inlineStr">
        <is>
          <t>Mean Bootstrap</t>
        </is>
      </c>
      <c r="D40" s="3" t="inlineStr">
        <is>
          <t>Batas Bawah (2.5%)</t>
        </is>
      </c>
      <c r="E40" s="3" t="inlineStr">
        <is>
          <t>Batas Atas (97.5%)</t>
        </is>
      </c>
      <c r="F40" s="3" t="inlineStr">
        <is>
          <t>Rentang CI 95% (Width)</t>
        </is>
      </c>
      <c r="G40" s="3" t="inlineStr">
        <is>
          <t>Stabilitas Estimasi</t>
        </is>
      </c>
    </row>
    <row r="41" ht="20" customHeight="1">
      <c r="A41" s="4" t="inlineStr">
        <is>
          <t>mDeBERTa-v3-base (86M)</t>
        </is>
      </c>
      <c r="B41" s="48" t="n">
        <v>74</v>
      </c>
      <c r="C41" s="49" t="n">
        <v>0.3478</v>
      </c>
      <c r="D41" s="49" t="n">
        <v>0.2895</v>
      </c>
      <c r="E41" s="49" t="n">
        <v>0.4092</v>
      </c>
      <c r="F41" s="50">
        <f>E41-D41</f>
        <v/>
      </c>
      <c r="G41" s="5" t="inlineStr">
        <is>
          <t>Sangat Stabil (Normal Distribution)</t>
        </is>
      </c>
    </row>
    <row r="42" ht="20" customHeight="1">
      <c r="A42" s="15" t="inlineStr">
        <is>
          <t>XLM-RoBERTa-large (560M)</t>
        </is>
      </c>
      <c r="B42" s="51" t="n">
        <v>74</v>
      </c>
      <c r="C42" s="52" t="n">
        <v>0.4357</v>
      </c>
      <c r="D42" s="52" t="n">
        <v>0.3717</v>
      </c>
      <c r="E42" s="52" t="n">
        <v>0.5</v>
      </c>
      <c r="F42" s="53">
        <f>E42-D42</f>
        <v/>
      </c>
      <c r="G42" s="16" t="inlineStr">
        <is>
          <t>Sangat Stabil (Normal Distribution)</t>
        </is>
      </c>
    </row>
    <row r="43" ht="20" customHeight="1">
      <c r="A43" s="4" t="inlineStr">
        <is>
          <t>IndoBERT-ner-gold (334M)</t>
        </is>
      </c>
      <c r="B43" s="48" t="n">
        <v>74</v>
      </c>
      <c r="C43" s="49" t="n">
        <v>0.4457</v>
      </c>
      <c r="D43" s="49" t="n">
        <v>0.3859</v>
      </c>
      <c r="E43" s="49" t="n">
        <v>0.5082</v>
      </c>
      <c r="F43" s="50">
        <f>E43-D43</f>
        <v/>
      </c>
      <c r="G43" s="5" t="inlineStr">
        <is>
          <t>BEST TOKEN CLASSIFIER (95% CI: 38.6% - 50.8%)</t>
        </is>
      </c>
    </row>
    <row r="44" ht="20" customHeight="1">
      <c r="A44" s="15" t="inlineStr">
        <is>
          <t>GLiNER v2.1 Fine-Tuned (300M)</t>
        </is>
      </c>
      <c r="B44" s="51" t="n">
        <v>74</v>
      </c>
      <c r="C44" s="52" t="n">
        <v>0.5443</v>
      </c>
      <c r="D44" s="52" t="n">
        <v>0.4778</v>
      </c>
      <c r="E44" s="52" t="n">
        <v>0.6076</v>
      </c>
      <c r="F44" s="53">
        <f>E44-D44</f>
        <v/>
      </c>
      <c r="G44" s="16" t="inlineStr">
        <is>
          <t>BEST ENCODER (95% CI Tertinggi: 47.8% - 60.8%)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35" customWidth="1" min="3" max="3"/>
    <col width="25" customWidth="1" min="4" max="4"/>
    <col width="36" customWidth="1" min="5" max="5"/>
    <col width="25" customWidth="1" min="6" max="6"/>
    <col width="33" customWidth="1" min="7" max="7"/>
    <col width="23" customWidth="1" min="8" max="8"/>
    <col width="25" customWidth="1" min="9" max="9"/>
    <col width="17" customWidth="1" min="10" max="10"/>
    <col width="25" customWidth="1" min="11" max="11"/>
    <col width="17" customWidth="1" min="12" max="12"/>
    <col width="28" customWidth="1" min="13" max="13"/>
    <col width="20" customWidth="1" min="14" max="14"/>
    <col width="26" customWidth="1" min="15" max="15"/>
    <col width="23" customWidth="1" min="16" max="16"/>
    <col width="52" customWidth="1" min="17" max="17"/>
  </cols>
  <sheetData>
    <row r="1" ht="26" customHeight="1">
      <c r="A1" s="1" t="inlineStr">
        <is>
          <t>UJI KETAHANAN OUT-OF-DISTRIBUTION (OOD STRESS TESTING PADA 236 SEL BEBAS-INSTITUSI)</t>
        </is>
      </c>
    </row>
    <row r="2" ht="18" customHeight="1">
      <c r="A2" s="2" t="inlineStr">
        <is>
          <t>Ketahanan Field Tanggal, Nomor, dan Kegiatan terhadap Mutasi Entitas &amp; Perturbasi Noise Karakter OCR</t>
        </is>
      </c>
    </row>
    <row r="3"/>
    <row r="4" ht="26" customHeight="1">
      <c r="A4" s="3" t="inlineStr">
        <is>
          <t>Kondisi Uji Gangguan</t>
        </is>
      </c>
      <c r="B4" s="3" t="inlineStr">
        <is>
          <t>Jumlah Sel</t>
        </is>
      </c>
      <c r="C4" s="3" t="inlineStr">
        <is>
          <t>Akurasi GLiNER v2.1 (Zero-Shot)</t>
        </is>
      </c>
      <c r="D4" s="3" t="inlineStr">
        <is>
          <t>Drop GLiNER v2.1 (ZS)</t>
        </is>
      </c>
      <c r="E4" s="3" t="inlineStr">
        <is>
          <t>Akurasi GLiNER v2.1 (Fine-Tuned)</t>
        </is>
      </c>
      <c r="F4" s="3" t="inlineStr">
        <is>
          <t>Drop GLiNER v2.1 (FT)</t>
        </is>
      </c>
      <c r="G4" s="3" t="inlineStr">
        <is>
          <t>Akurasi GLiNER2.5 (Zero-Shot)</t>
        </is>
      </c>
      <c r="H4" s="3" t="inlineStr">
        <is>
          <t>Drop GLiNER2.5 (ZS)</t>
        </is>
      </c>
      <c r="I4" s="3" t="inlineStr">
        <is>
          <t>Akurasi IndoBERT (FT)</t>
        </is>
      </c>
      <c r="J4" s="3" t="inlineStr">
        <is>
          <t>Drop IndoBERT</t>
        </is>
      </c>
      <c r="K4" s="3" t="inlineStr">
        <is>
          <t>Akurasi mDeBERTa (FT)</t>
        </is>
      </c>
      <c r="L4" s="3" t="inlineStr">
        <is>
          <t>Drop mDeBERTa</t>
        </is>
      </c>
      <c r="M4" s="3" t="inlineStr">
        <is>
          <t>Akurasi XLM-RoBERTa (FT)</t>
        </is>
      </c>
      <c r="N4" s="3" t="inlineStr">
        <is>
          <t>Drop XLM-RoBERTa</t>
        </is>
      </c>
      <c r="O4" s="3" t="inlineStr">
        <is>
          <t>Akurasi Composite v4.x</t>
        </is>
      </c>
      <c r="P4" s="3" t="inlineStr">
        <is>
          <t>Drop Composite v4.x</t>
        </is>
      </c>
      <c r="Q4" s="3" t="inlineStr">
        <is>
          <t>Toleransi &amp; Evaluasi Robustness Gate (Lapis 2)</t>
        </is>
      </c>
    </row>
    <row r="5" ht="20" customHeight="1">
      <c r="A5" s="4" t="inlineStr">
        <is>
          <t>Clean Baseline (Tanpa Noise)</t>
        </is>
      </c>
      <c r="B5" s="48" t="n">
        <v>236</v>
      </c>
      <c r="C5" s="49" t="n">
        <v>0.3517</v>
      </c>
      <c r="D5" s="54">
        <f>C5-C$5</f>
        <v/>
      </c>
      <c r="E5" s="49" t="n">
        <v>0.5593</v>
      </c>
      <c r="F5" s="54">
        <f>E5-E$5</f>
        <v/>
      </c>
      <c r="G5" s="49" t="n">
        <v>0.2839</v>
      </c>
      <c r="H5" s="54">
        <f>G5-G$5</f>
        <v/>
      </c>
      <c r="I5" s="49" t="n">
        <v>0.4703</v>
      </c>
      <c r="J5" s="54">
        <f>I5-I$5</f>
        <v/>
      </c>
      <c r="K5" s="49" t="n">
        <v>0.3771</v>
      </c>
      <c r="L5" s="54">
        <f>K5-K$5</f>
        <v/>
      </c>
      <c r="M5" s="49" t="n">
        <v>0.4534</v>
      </c>
      <c r="N5" s="54">
        <f>M5-M$5</f>
        <v/>
      </c>
      <c r="O5" s="49" t="n">
        <v>0.88</v>
      </c>
      <c r="P5" s="54">
        <f>O5-O$5</f>
        <v/>
      </c>
      <c r="Q5" s="5" t="inlineStr">
        <is>
          <t>Kondisi teks masukan OCR standar (Baseline Lapis 2)</t>
        </is>
      </c>
    </row>
    <row r="6" ht="20" customHeight="1">
      <c r="A6" s="15" t="inlineStr">
        <is>
          <t>Mutasi Entitas (UNAIR-&gt;UNS dll)</t>
        </is>
      </c>
      <c r="B6" s="51" t="n">
        <v>236</v>
      </c>
      <c r="C6" s="52" t="n">
        <v>0.3517</v>
      </c>
      <c r="D6" s="55">
        <f>C6-C$5</f>
        <v/>
      </c>
      <c r="E6" s="52" t="n">
        <v>0.4958</v>
      </c>
      <c r="F6" s="55">
        <f>E6-E$5</f>
        <v/>
      </c>
      <c r="G6" s="52" t="n">
        <v>0.2797</v>
      </c>
      <c r="H6" s="55">
        <f>G6-G$5</f>
        <v/>
      </c>
      <c r="I6" s="52" t="n">
        <v>0.3983</v>
      </c>
      <c r="J6" s="55">
        <f>I6-I$5</f>
        <v/>
      </c>
      <c r="K6" s="52" t="n">
        <v>0.3051</v>
      </c>
      <c r="L6" s="55">
        <f>K6-K$5</f>
        <v/>
      </c>
      <c r="M6" s="52" t="n">
        <v>0.3771</v>
      </c>
      <c r="N6" s="55">
        <f>M6-M$5</f>
        <v/>
      </c>
      <c r="O6" s="52" t="n">
        <v>0.806</v>
      </c>
      <c r="P6" s="55">
        <f>O6-O$5</f>
        <v/>
      </c>
      <c r="Q6" s="16" t="inlineStr">
        <is>
          <t>GLiNER FT drop -6.36pp (FAIL batas &lt;=2.0pp); adaptasi domain mengurangi ketahanan mutasi entitas</t>
        </is>
      </c>
    </row>
    <row r="7" ht="20" customHeight="1">
      <c r="A7" s="4" t="inlineStr">
        <is>
          <t>Perturbasi Noise OCR 10%</t>
        </is>
      </c>
      <c r="B7" s="48" t="n">
        <v>236</v>
      </c>
      <c r="C7" s="49" t="n">
        <v>0.2712</v>
      </c>
      <c r="D7" s="54">
        <f>C7-C$5</f>
        <v/>
      </c>
      <c r="E7" s="49" t="n">
        <v>0.3686</v>
      </c>
      <c r="F7" s="54">
        <f>E7-E$5</f>
        <v/>
      </c>
      <c r="G7" s="49" t="n">
        <v>0.2288</v>
      </c>
      <c r="H7" s="54">
        <f>G7-G$5</f>
        <v/>
      </c>
      <c r="I7" s="49" t="n">
        <v>0.3051</v>
      </c>
      <c r="J7" s="54">
        <f>I7-I$5</f>
        <v/>
      </c>
      <c r="K7" s="49" t="n">
        <v>0.25</v>
      </c>
      <c r="L7" s="54">
        <f>K7-K$5</f>
        <v/>
      </c>
      <c r="M7" s="49" t="n">
        <v>0.2924</v>
      </c>
      <c r="N7" s="54">
        <f>M7-M$5</f>
        <v/>
      </c>
      <c r="O7" s="49" t="n">
        <v>0.799</v>
      </c>
      <c r="P7" s="54">
        <f>O7-O$5</f>
        <v/>
      </c>
      <c r="Q7" s="5" t="inlineStr">
        <is>
          <t>Simulasi kebingungan karakter OCR 5&lt;-&gt;S, 8&lt;-&gt;B, 0&lt;-&gt;O, 1&lt;-&gt;I; GLiNER FT drop -19.07pp</t>
        </is>
      </c>
    </row>
    <row r="8" ht="20" customHeight="1">
      <c r="A8" s="15" t="inlineStr">
        <is>
          <t>Perturbasi Noise OCR 25%</t>
        </is>
      </c>
      <c r="B8" s="51" t="n">
        <v>236</v>
      </c>
      <c r="C8" s="52" t="n">
        <v>0.178</v>
      </c>
      <c r="D8" s="55">
        <f>C8-C$5</f>
        <v/>
      </c>
      <c r="E8" s="52" t="n">
        <v>0.2754</v>
      </c>
      <c r="F8" s="55">
        <f>E8-E$5</f>
        <v/>
      </c>
      <c r="G8" s="52" t="n">
        <v>0.1525</v>
      </c>
      <c r="H8" s="55">
        <f>G8-G$5</f>
        <v/>
      </c>
      <c r="I8" s="52" t="n">
        <v>0.1822</v>
      </c>
      <c r="J8" s="55">
        <f>I8-I$5</f>
        <v/>
      </c>
      <c r="K8" s="52" t="n">
        <v>0.2034</v>
      </c>
      <c r="L8" s="55">
        <f>K8-K$5</f>
        <v/>
      </c>
      <c r="M8" s="52" t="n">
        <v>0.1949</v>
      </c>
      <c r="N8" s="55">
        <f>M8-M$5</f>
        <v/>
      </c>
      <c r="O8" s="52" t="n">
        <v>0.698</v>
      </c>
      <c r="P8" s="55">
        <f>O8-O$5</f>
        <v/>
      </c>
      <c r="Q8" s="16" t="inlineStr">
        <is>
          <t>Tingkat noise OCR sedang pada dokumen buram/pindaian miring; drop -28.39pp</t>
        </is>
      </c>
    </row>
    <row r="9" ht="20" customHeight="1">
      <c r="A9" s="4" t="inlineStr">
        <is>
          <t>Perturbasi Noise OCR 50%</t>
        </is>
      </c>
      <c r="B9" s="48" t="n">
        <v>236</v>
      </c>
      <c r="C9" s="49" t="n">
        <v>0.1017</v>
      </c>
      <c r="D9" s="54">
        <f>C9-C$5</f>
        <v/>
      </c>
      <c r="E9" s="49" t="n">
        <v>0.1356</v>
      </c>
      <c r="F9" s="54">
        <f>E9-E$5</f>
        <v/>
      </c>
      <c r="G9" s="49" t="n">
        <v>0.07199999999999999</v>
      </c>
      <c r="H9" s="54">
        <f>G9-G$5</f>
        <v/>
      </c>
      <c r="I9" s="49" t="n">
        <v>0.089</v>
      </c>
      <c r="J9" s="54">
        <f>I9-I$5</f>
        <v/>
      </c>
      <c r="K9" s="49" t="n">
        <v>0.1017</v>
      </c>
      <c r="L9" s="54">
        <f>K9-K$5</f>
        <v/>
      </c>
      <c r="M9" s="49" t="n">
        <v>0.1229</v>
      </c>
      <c r="N9" s="54">
        <f>M9-M$5</f>
        <v/>
      </c>
      <c r="O9" s="49" t="n">
        <v>0.541</v>
      </c>
      <c r="P9" s="54">
        <f>O9-O$5</f>
        <v/>
      </c>
      <c r="Q9" s="5" t="inlineStr">
        <is>
          <t>Tingkat noise OCR ekstrem pada pindaian sangat rusak; drop -42.37pp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26" customHeight="1">
      <c r="A1" s="1" t="inlineStr">
        <is>
          <t>ARSITEKTUR PIPELINE PRODUKSI: TWO-STAGE OCR-TO-LLM (TESSERACT-TO-GEMINI)</t>
        </is>
      </c>
    </row>
    <row r="2" ht="18" customHeight="1">
      <c r="A2" s="2" t="inlineStr">
        <is>
          <t>Penjelasan Rinci: Mengapa Pipeline Menggunakan Tesseract OCR Dahulu Sebelum Masuk ke LLM Gemini</t>
        </is>
      </c>
    </row>
    <row r="3"/>
    <row r="4">
      <c r="A4" s="34" t="inlineStr">
        <is>
          <t>1. Tahapan Alur Kerja Produksi (Step-by-Step)</t>
        </is>
      </c>
    </row>
    <row r="5" ht="24" customHeight="1">
      <c r="A5" s="3" t="inlineStr">
        <is>
          <t>Tahap</t>
        </is>
      </c>
      <c r="B5" s="3" t="inlineStr">
        <is>
          <t>Komponen Sistem</t>
        </is>
      </c>
      <c r="C5" s="3" t="inlineStr">
        <is>
          <t>Masukan (Input)</t>
        </is>
      </c>
      <c r="D5" s="3" t="inlineStr">
        <is>
          <t>Keluaran (Output)</t>
        </is>
      </c>
      <c r="E5" s="3" t="inlineStr">
        <is>
          <t>Fungsi &amp; Rasional Desain</t>
        </is>
      </c>
    </row>
    <row r="6" ht="22" customHeight="1">
      <c r="A6" s="56" t="inlineStr">
        <is>
          <t>Tahap 1: Fast Path</t>
        </is>
      </c>
      <c r="B6" s="15" t="inlineStr">
        <is>
          <t>PyMuPDF (fitz)</t>
        </is>
      </c>
      <c r="C6" s="16" t="inlineStr">
        <is>
          <t>File PDF Asli</t>
        </is>
      </c>
      <c r="D6" s="16" t="inlineStr">
        <is>
          <t>Teks Digital (raw_text)</t>
        </is>
      </c>
      <c r="E6" s="16" t="inlineStr">
        <is>
          <t>Ekstraksi instan (~0.05s) untuk 25 PDF yang memiliki text layer asli.</t>
        </is>
      </c>
    </row>
    <row r="7" ht="22" customHeight="1">
      <c r="A7" s="57" t="inlineStr">
        <is>
          <t>Tahap 2: OCR Fallback</t>
        </is>
      </c>
      <c r="B7" s="4" t="inlineStr">
        <is>
          <t>Tesseract Standalone Multi-PSM</t>
        </is>
      </c>
      <c r="C7" s="5" t="inlineStr">
        <is>
          <t>Raster PNG @300 DPI</t>
        </is>
      </c>
      <c r="D7" s="5" t="inlineStr">
        <is>
          <t>Teks Karakter (raw_text)</t>
        </is>
      </c>
      <c r="E7" s="5" t="inlineStr">
        <is>
          <t>Membaca teks dari sertifikat pindaian/scan (49 dokumen) dengan kamus ind+eng.</t>
        </is>
      </c>
    </row>
    <row r="8" ht="22" customHeight="1">
      <c r="A8" s="56" t="inlineStr">
        <is>
          <t>Tahap 3: Prompt Assembly</t>
        </is>
      </c>
      <c r="B8" s="15" t="inlineStr">
        <is>
          <t>gemini_extractor.py</t>
        </is>
      </c>
      <c r="C8" s="16" t="inlineStr">
        <is>
          <t>Teks OCR + Schema JSON</t>
        </is>
      </c>
      <c r="D8" s="16" t="inlineStr">
        <is>
          <t>HTTP Payload JSON</t>
        </is>
      </c>
      <c r="E8" s="16" t="inlineStr">
        <is>
          <t>Menyusun instruksi ekstraksi semantik &amp; format JSON standar form KHP.</t>
        </is>
      </c>
    </row>
    <row r="9" ht="22" customHeight="1">
      <c r="A9" s="57" t="inlineStr">
        <is>
          <t>Tahap 4: LLM Parsing</t>
        </is>
      </c>
      <c r="B9" s="4" t="inlineStr">
        <is>
          <t>gemini-3.1-flash-lite</t>
        </is>
      </c>
      <c r="C9" s="5" t="inlineStr">
        <is>
          <t>Teks Hasil OCR via REST</t>
        </is>
      </c>
      <c r="D9" s="5" t="inlineStr">
        <is>
          <t>JSON Entitas Terstruktur</t>
        </is>
      </c>
      <c r="E9" s="5" t="inlineStr">
        <is>
          <t>Mengekstrak 7 field utama dengan kecerdasan semantik (temperature=0.0 deterministik).</t>
        </is>
      </c>
    </row>
    <row r="10" ht="22" customHeight="1">
      <c r="A10" s="56" t="inlineStr">
        <is>
          <t>Tahap 5: Form Mapping</t>
        </is>
      </c>
      <c r="B10" s="15" t="inlineStr">
        <is>
          <t>form_mapper.py</t>
        </is>
      </c>
      <c r="C10" s="16" t="inlineStr">
        <is>
          <t>JSON Entitas + Full Text</t>
        </is>
      </c>
      <c r="D10" s="16" t="inlineStr">
        <is>
          <t>Form KHP Mapped Fields</t>
        </is>
      </c>
      <c r="E10" s="16" t="inlineStr">
        <is>
          <t>Memetakan nilai bersih ke dropdown master data KHP &amp; menghitung skor verifikasi.</t>
        </is>
      </c>
    </row>
    <row r="11" ht="22" customHeight="1">
      <c r="A11" s="57" t="inlineStr">
        <is>
          <t>Tahap 6: Safety Net</t>
        </is>
      </c>
      <c r="B11" s="4" t="inlineStr">
        <is>
          <t>Graceful Fallback</t>
        </is>
      </c>
      <c r="C11" s="5" t="inlineStr">
        <is>
          <t>Status API / Koneksi</t>
        </is>
      </c>
      <c r="D11" s="5" t="inlineStr">
        <is>
          <t>Offline Pipeline Result</t>
        </is>
      </c>
      <c r="E11" s="5" t="inlineStr">
        <is>
          <t>Jika Google API offline (429/503/timeout), otomatis dialihkan ke Combined v4.2 tanpa error 500.</t>
        </is>
      </c>
    </row>
    <row r="12"/>
    <row r="13">
      <c r="A13" s="34" t="inlineStr">
        <is>
          <t>2. Perbandingan Arsitektur: Two-Stage (OCR-to-LLM) vs Direct Multimodal (Vision-to-LLM)</t>
        </is>
      </c>
    </row>
    <row r="14" ht="24" customHeight="1">
      <c r="A14" s="3" t="inlineStr">
        <is>
          <t>Dimensi Arsitektur</t>
        </is>
      </c>
      <c r="B14" s="3" t="inlineStr">
        <is>
          <t>Two-Stage: Tesseract-to-Gemini (Pipeline Saat Ini)</t>
        </is>
      </c>
      <c r="C14" s="3" t="inlineStr">
        <is>
          <t>Direct Multimodal: Vision-to-Gemini (Kirim Gambar/PDF)</t>
        </is>
      </c>
      <c r="D14" s="3" t="inlineStr">
        <is>
          <t>Keuntungan Pendekatan Proyek</t>
        </is>
      </c>
    </row>
    <row r="15" ht="24" customHeight="1">
      <c r="A15" s="4" t="inlineStr">
        <is>
          <t>Masukan ke LLM</t>
        </is>
      </c>
      <c r="B15" s="5" t="inlineStr">
        <is>
          <t>Teks Bersih / Hasil OCR (~300 - 800 kata teks polos)</t>
        </is>
      </c>
      <c r="C15" s="5" t="inlineStr">
        <is>
          <t>File Gambar Pindaian / PDF base64 utuh (~2 - 8 Megabyte)</t>
        </is>
      </c>
      <c r="D15" s="5" t="inlineStr">
        <is>
          <t>Ukuran payload HTTP sangat kecil (&lt;5 KB vs &gt;2 MB), hemat bandwidth.</t>
        </is>
      </c>
    </row>
    <row r="16" ht="24" customHeight="1">
      <c r="A16" s="15" t="inlineStr">
        <is>
          <t>Konsumsi Token</t>
        </is>
      </c>
      <c r="B16" s="16" t="inlineStr">
        <is>
          <t>1.369 Token per Sertifikat (Input + Output)</t>
        </is>
      </c>
      <c r="C16" s="16" t="inlineStr">
        <is>
          <t>3.000 - 8.000+ Token per Halaman (Image Tile Tokens)</t>
        </is>
      </c>
      <c r="D16" s="16" t="inlineStr">
        <is>
          <t>Menghemat biaya token hingga 75% per pemanggilan API.</t>
        </is>
      </c>
    </row>
    <row r="17" ht="24" customHeight="1">
      <c r="A17" s="4" t="inlineStr">
        <is>
          <t>Biaya API / Dokumen</t>
        </is>
      </c>
      <c r="B17" s="5" t="inlineStr">
        <is>
          <t>Rp9.50 per Sertifikat (Total 74 doc = Rp703.27)</t>
        </is>
      </c>
      <c r="C17" s="5" t="inlineStr">
        <is>
          <t>~Rp40.00 - Rp75.00 per Sertifikat (Tergantung resolusi gambar)</t>
        </is>
      </c>
      <c r="D17" s="5" t="inlineStr">
        <is>
          <t>Sangat ekonomis untuk beban kerja ribuan sertifikat mahasiswa.</t>
        </is>
      </c>
    </row>
    <row r="18" ht="24" customHeight="1">
      <c r="A18" s="15" t="inlineStr">
        <is>
          <t>Kecepatan / Latensi</t>
        </is>
      </c>
      <c r="B18" s="16" t="inlineStr">
        <is>
          <t>Rata-rata 1.36 detik per sertifikat</t>
        </is>
      </c>
      <c r="C18" s="16" t="inlineStr">
        <is>
          <t>3.5 - 6.0 detik per sertifikat (Encoding &amp; pemrosesan visual)</t>
        </is>
      </c>
      <c r="D18" s="16" t="inlineStr">
        <is>
          <t>Pengguna form antarmuka web mendapatkan respon autofill lebih instan.</t>
        </is>
      </c>
    </row>
    <row r="19" ht="24" customHeight="1">
      <c r="A19" s="4" t="inlineStr">
        <is>
          <t>Ketahanan Fallback</t>
        </is>
      </c>
      <c r="B19" s="5" t="inlineStr">
        <is>
          <t>Teks OCR lokal sudah tersedia di memori; jika API mati, langsung fallback offline</t>
        </is>
      </c>
      <c r="C19" s="5" t="inlineStr">
        <is>
          <t>Jika API mati, proses gagal total kecuali ada OCR lokal terpisah</t>
        </is>
      </c>
      <c r="D19" s="5" t="inlineStr">
        <is>
          <t>Zero 500 error guarantee: jika kuota habis, form tetap terisi via Combined v4.2.</t>
        </is>
      </c>
    </row>
    <row r="20" ht="24" customHeight="1">
      <c r="A20" s="15" t="inlineStr">
        <is>
          <t>Presisi Karakter</t>
        </is>
      </c>
      <c r="B20" s="16" t="inlineStr">
        <is>
          <t>Tesseract multi-PSM unggul pada nomor surat resmi bertanda baca kompleks</t>
        </is>
      </c>
      <c r="C20" s="16" t="inlineStr">
        <is>
          <t>VLM generatif terkadang melakukan halusinasi pada digit nomor kecil</t>
        </is>
      </c>
      <c r="D20" s="16" t="inlineStr">
        <is>
          <t>Kombinasi OCR deterministik + LLM semantik memberikan hasil optimal.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2026-09-04T13:15:28Z</dcterms:created>
  <dcterms:modified xmlns:dcterms="http://purl.org/dc/terms/" xmlns:xsi="http://www.w3.org/2001/XMLSchema-instance" xsi:type="dcterms:W3CDTF">2026-09-04T13:15:28Z</dcterms:modified>
</cp:coreProperties>
</file>